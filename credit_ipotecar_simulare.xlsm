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Git\simulator_credit_ipotecar\"/>
    </mc:Choice>
  </mc:AlternateContent>
  <bookViews>
    <workbookView xWindow="0" yWindow="0" windowWidth="12000" windowHeight="9075"/>
  </bookViews>
  <sheets>
    <sheet name="simulare" sheetId="2" r:id="rId1"/>
    <sheet name="documente" sheetId="3" r:id="rId2"/>
    <sheet name="info" sheetId="4" r:id="rId3"/>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2" l="1"/>
  <c r="C11" i="2" s="1"/>
  <c r="A5" i="2"/>
  <c r="C6" i="2"/>
  <c r="C12" i="2" l="1"/>
  <c r="C5" i="2"/>
  <c r="C9" i="2" l="1"/>
  <c r="C8" i="2"/>
  <c r="F7" i="2" l="1"/>
  <c r="E5" i="2" l="1"/>
  <c r="E4" i="2"/>
  <c r="B3" i="2" l="1"/>
  <c r="B12" i="2"/>
  <c r="C4" i="2"/>
  <c r="G3" i="2" s="1"/>
  <c r="F3" i="2" l="1"/>
  <c r="G4" i="2"/>
  <c r="F4" i="2" s="1"/>
  <c r="G5" i="2"/>
  <c r="F5" i="2" s="1"/>
  <c r="G6" i="2"/>
  <c r="F9" i="2" s="1"/>
  <c r="G9" i="2" s="1"/>
  <c r="F8" i="2"/>
  <c r="F2" i="2"/>
  <c r="G2" i="2" s="1"/>
  <c r="F6" i="2" l="1"/>
</calcChain>
</file>

<file path=xl/sharedStrings.xml><?xml version="1.0" encoding="utf-8"?>
<sst xmlns="http://schemas.openxmlformats.org/spreadsheetml/2006/main" count="50" uniqueCount="46">
  <si>
    <t>Dobanda fixa</t>
  </si>
  <si>
    <t>Principal</t>
  </si>
  <si>
    <t>Luna</t>
  </si>
  <si>
    <t>Dobanda variabila</t>
  </si>
  <si>
    <t>Curs valutar</t>
  </si>
  <si>
    <t>Valoare imobil</t>
  </si>
  <si>
    <t>Dobanda</t>
  </si>
  <si>
    <t>Venit lunar</t>
  </si>
  <si>
    <t>Grad de indatorare</t>
  </si>
  <si>
    <t>Sold ramas</t>
  </si>
  <si>
    <t>VALORI DE INTRARE</t>
  </si>
  <si>
    <t>Dobanda totala</t>
  </si>
  <si>
    <t>Nr</t>
  </si>
  <si>
    <t>Denumire</t>
  </si>
  <si>
    <t>Observatii</t>
  </si>
  <si>
    <t>in termn de 30 zile</t>
  </si>
  <si>
    <t>opinia notariala</t>
  </si>
  <si>
    <t>Data inceput / final</t>
  </si>
  <si>
    <t>Rata conform DAE</t>
  </si>
  <si>
    <t>Valoare imprumut</t>
  </si>
  <si>
    <t>Total de rambursat</t>
  </si>
  <si>
    <t>Tip de rata</t>
  </si>
  <si>
    <t>Rate egale</t>
  </si>
  <si>
    <t>Rate descrescatoare</t>
  </si>
  <si>
    <t>Salariu la banca</t>
  </si>
  <si>
    <t>Plata anticipata</t>
  </si>
  <si>
    <t>Asigurare de viata</t>
  </si>
  <si>
    <t>Imobil Eco</t>
  </si>
  <si>
    <t>Da</t>
  </si>
  <si>
    <t>Nu</t>
  </si>
  <si>
    <t>DAE</t>
  </si>
  <si>
    <t>Perioada initiala</t>
  </si>
  <si>
    <t>Perioada finala</t>
  </si>
  <si>
    <t>Data platii</t>
  </si>
  <si>
    <t>Rata lunara</t>
  </si>
  <si>
    <t>Optiune</t>
  </si>
  <si>
    <t>Tip de rate</t>
  </si>
  <si>
    <t>Perioada</t>
  </si>
  <si>
    <r>
      <rPr>
        <b/>
        <i/>
        <sz val="8"/>
        <rFont val="Calibri"/>
        <family val="2"/>
        <scheme val="minor"/>
      </rPr>
      <t>Observatii:</t>
    </r>
    <r>
      <rPr>
        <i/>
        <sz val="8"/>
        <rFont val="Calibri"/>
        <family val="2"/>
        <scheme val="minor"/>
      </rPr>
      <t xml:space="preserve">
Dobanda variabiabila se calculeaza ca marja bancii + IRCC
Rata egala reprezinta un principal crescator si dobanda descrescatoar (se calculeaza cu DAE)
Rata descrescatoare reprezinta un principal constant si dobanda descrescatoare (cel mai avantajos)
Plata anticipata se calculeaza pentru scaderea perioadei
Eco este atunci cand imobilul are certificat energetic clasa A si este construit dupa anul 2021
Plata anticipata se calculeaza pentru reducerea perioadei (plata de principal in avans)</t>
    </r>
  </si>
  <si>
    <t>VALORI CALCULATE</t>
  </si>
  <si>
    <t>RLV</t>
  </si>
  <si>
    <t>schita imobilului</t>
  </si>
  <si>
    <t>extras de carte de funciara</t>
  </si>
  <si>
    <t>comisiune bilaterala de vanzare-cumparare</t>
  </si>
  <si>
    <t>se numeste si antecontract
se face la notariat</t>
  </si>
  <si>
    <t>istoricul imobilului verificat de notar
se poate incarca in aplicatia bancii daca se permite acest lucru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</si>
</sst>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 #,##0.00\ [$RON]"/>
    <numFmt numFmtId="165" formatCode="\ #,##0\ [$ani]"/>
    <numFmt numFmtId="166" formatCode="\ #,##0\ [$luni]"/>
    <numFmt numFmtId="167" formatCode="\ #,##0\ [$RON]"/>
    <numFmt numFmtId="168" formatCode="0.0%"/>
    <numFmt numFmtId="169" formatCode="#,##0.00000"/>
    <numFmt numFmtId="170" formatCode="[$RON]\ #,##0.00"/>
    <numFmt numFmtId="171" formatCode="#,##0.00\ [$RON]"/>
    <numFmt numFmtId="172" formatCode="#,##0.00\ [$EUR]"/>
    <numFmt numFmtId="173" formatCode="dd/mm/yyyy"/>
    <numFmt numFmtId="174" formatCode="&quot;£&quot;#,##0.00"/>
  </numFmts>
  <fonts count="12" x14ac:knownFonts="1">
    <font>
      <sz val="11"/>
      <color theme="1"/>
      <name val="Calibri"/>
      <family val="2"/>
      <scheme val="minor"/>
    </font>
    <font>
      <b/>
      <sz val="11"/>
      <color theme="1"/>
      <name val="Calibri"/>
      <family val="2"/>
      <scheme val="minor"/>
    </font>
    <font>
      <b/>
      <sz val="11"/>
      <color theme="3"/>
      <name val="Calibri"/>
      <family val="2"/>
      <scheme val="minor"/>
    </font>
    <font>
      <b/>
      <sz val="8"/>
      <color theme="0"/>
      <name val="Calibri"/>
      <family val="2"/>
      <scheme val="minor"/>
    </font>
    <font>
      <sz val="8"/>
      <color theme="0"/>
      <name val="Calibri"/>
      <family val="2"/>
      <scheme val="minor"/>
    </font>
    <font>
      <sz val="8"/>
      <name val="Calibri"/>
      <family val="2"/>
      <scheme val="minor"/>
    </font>
    <font>
      <sz val="8"/>
      <color rgb="FF000000"/>
      <name val="Arial"/>
      <family val="2"/>
    </font>
    <font>
      <b/>
      <sz val="8"/>
      <color rgb="FF000000"/>
      <name val="Calibri"/>
      <family val="2"/>
      <scheme val="minor"/>
    </font>
    <font>
      <b/>
      <sz val="8"/>
      <name val="Calibri"/>
      <family val="2"/>
      <scheme val="minor"/>
    </font>
    <font>
      <i/>
      <sz val="8"/>
      <name val="Calibri"/>
      <family val="2"/>
      <scheme val="minor"/>
    </font>
    <font>
      <b/>
      <i/>
      <sz val="8"/>
      <name val="Calibri"/>
      <family val="2"/>
      <scheme val="minor"/>
    </font>
    <font>
      <b/>
      <sz val="8"/>
      <color rgb="FFBE000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0"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medium">
        <color theme="4" tint="0.39997558519241921"/>
      </bottom>
      <diagonal/>
    </border>
  </borders>
  <cellStyleXfs count="2">
    <xf numFmtId="0" fontId="0" fillId="0" borderId="0"/>
    <xf numFmtId="0" fontId="2" fillId="0" borderId="2" applyNumberFormat="0" applyFill="0" applyAlignment="0" applyProtection="0"/>
  </cellStyleXfs>
  <cellXfs count="53">
    <xf numFmtId="0" fontId="0" fillId="0" borderId="0" xfId="0"/>
    <xf numFmtId="0" fontId="0" fillId="0" borderId="0" xfId="0" applyAlignment="1">
      <alignment horizontal="center"/>
    </xf>
    <xf numFmtId="0" fontId="0" fillId="0" borderId="1" xfId="0" applyBorder="1" applyAlignment="1">
      <alignment horizontal="center"/>
    </xf>
    <xf numFmtId="0" fontId="1" fillId="4" borderId="1" xfId="0" applyFont="1" applyFill="1" applyBorder="1" applyAlignment="1">
      <alignment horizontal="center" vertical="center"/>
    </xf>
    <xf numFmtId="0" fontId="4" fillId="2" borderId="0" xfId="0" applyFont="1" applyFill="1"/>
    <xf numFmtId="0" fontId="3" fillId="2" borderId="0" xfId="0" applyNumberFormat="1" applyFont="1" applyFill="1" applyBorder="1" applyAlignment="1">
      <alignment vertical="center" wrapText="1"/>
    </xf>
    <xf numFmtId="0" fontId="7" fillId="2" borderId="0" xfId="1" applyFont="1" applyFill="1" applyBorder="1" applyAlignment="1">
      <alignment horizontal="left" vertical="center"/>
    </xf>
    <xf numFmtId="165" fontId="7" fillId="2" borderId="0" xfId="1" applyNumberFormat="1" applyFont="1" applyFill="1" applyBorder="1" applyAlignment="1">
      <alignment horizontal="right" vertical="center"/>
    </xf>
    <xf numFmtId="166" fontId="7" fillId="2" borderId="0" xfId="1" applyNumberFormat="1" applyFont="1" applyFill="1" applyBorder="1" applyAlignment="1">
      <alignment horizontal="right" vertical="center"/>
    </xf>
    <xf numFmtId="0" fontId="5" fillId="2" borderId="0" xfId="0" applyFont="1" applyFill="1"/>
    <xf numFmtId="0" fontId="5" fillId="2" borderId="0" xfId="0" applyFont="1" applyFill="1" applyBorder="1" applyAlignment="1">
      <alignment horizontal="left" vertical="center"/>
    </xf>
    <xf numFmtId="164" fontId="5" fillId="2" borderId="0" xfId="1" applyNumberFormat="1" applyFont="1" applyFill="1" applyBorder="1" applyAlignment="1">
      <alignment horizontal="right" vertical="center"/>
    </xf>
    <xf numFmtId="14" fontId="5" fillId="2" borderId="0" xfId="0" applyNumberFormat="1" applyFont="1" applyFill="1" applyBorder="1" applyAlignment="1">
      <alignment horizontal="right" vertical="center"/>
    </xf>
    <xf numFmtId="0" fontId="8" fillId="2" borderId="0" xfId="1" applyFont="1" applyFill="1" applyBorder="1" applyAlignment="1">
      <alignment horizontal="left" vertical="center"/>
    </xf>
    <xf numFmtId="0" fontId="5" fillId="2" borderId="0" xfId="1" applyFont="1" applyFill="1" applyBorder="1" applyAlignment="1">
      <alignment horizontal="left" vertical="center"/>
    </xf>
    <xf numFmtId="0" fontId="5" fillId="2" borderId="0" xfId="0" applyFont="1" applyFill="1" applyAlignment="1">
      <alignment horizontal="left" vertical="center"/>
    </xf>
    <xf numFmtId="165" fontId="5" fillId="2" borderId="0" xfId="1" applyNumberFormat="1" applyFont="1" applyFill="1" applyBorder="1" applyAlignment="1">
      <alignment horizontal="right" vertical="center"/>
    </xf>
    <xf numFmtId="168" fontId="5" fillId="2" borderId="0" xfId="1" applyNumberFormat="1" applyFont="1" applyFill="1" applyBorder="1" applyAlignment="1">
      <alignment horizontal="right" vertical="center"/>
    </xf>
    <xf numFmtId="166" fontId="5" fillId="2" borderId="0" xfId="1" applyNumberFormat="1" applyFont="1" applyFill="1" applyBorder="1" applyAlignment="1">
      <alignment horizontal="right" vertical="center"/>
    </xf>
    <xf numFmtId="10" fontId="5" fillId="2" borderId="0" xfId="0" applyNumberFormat="1" applyFont="1" applyFill="1"/>
    <xf numFmtId="0" fontId="5" fillId="2" borderId="0" xfId="1" applyFont="1" applyFill="1" applyBorder="1" applyAlignment="1">
      <alignment horizontal="left" vertical="center" wrapText="1"/>
    </xf>
    <xf numFmtId="0" fontId="5" fillId="2" borderId="0" xfId="0" applyFont="1" applyFill="1" applyAlignment="1">
      <alignment horizontal="center" vertical="center"/>
    </xf>
    <xf numFmtId="14" fontId="5" fillId="2" borderId="0" xfId="0" applyNumberFormat="1" applyFont="1" applyFill="1" applyAlignment="1">
      <alignment horizontal="center" vertical="center"/>
    </xf>
    <xf numFmtId="0" fontId="4" fillId="2" borderId="0" xfId="0" applyNumberFormat="1" applyFont="1" applyFill="1" applyBorder="1" applyAlignment="1">
      <alignment vertical="center" wrapText="1"/>
    </xf>
    <xf numFmtId="0" fontId="3" fillId="3" borderId="0" xfId="0" applyFont="1" applyFill="1" applyAlignment="1">
      <alignment horizontal="center" vertical="center"/>
    </xf>
    <xf numFmtId="170" fontId="5" fillId="2" borderId="0" xfId="0" applyNumberFormat="1" applyFont="1" applyFill="1"/>
    <xf numFmtId="167" fontId="5" fillId="2" borderId="0" xfId="0" applyNumberFormat="1" applyFont="1" applyFill="1"/>
    <xf numFmtId="169" fontId="4" fillId="2" borderId="0" xfId="0" applyNumberFormat="1" applyFont="1" applyFill="1"/>
    <xf numFmtId="10" fontId="4" fillId="2" borderId="0" xfId="0" applyNumberFormat="1" applyFont="1" applyFill="1"/>
    <xf numFmtId="10" fontId="5" fillId="2" borderId="0" xfId="1" applyNumberFormat="1" applyFont="1" applyFill="1" applyBorder="1" applyAlignment="1">
      <alignment horizontal="right" vertical="center"/>
    </xf>
    <xf numFmtId="0" fontId="0" fillId="0" borderId="0" xfId="0" applyAlignment="1">
      <alignment horizontal="center" vertical="center"/>
    </xf>
    <xf numFmtId="0" fontId="1" fillId="4" borderId="1" xfId="0" applyFont="1" applyFill="1" applyBorder="1" applyAlignment="1">
      <alignment horizontal="center"/>
    </xf>
    <xf numFmtId="0" fontId="0" fillId="0" borderId="1" xfId="0" applyBorder="1" applyAlignment="1">
      <alignment horizontal="center" vertical="center"/>
    </xf>
    <xf numFmtId="171" fontId="5" fillId="2" borderId="0" xfId="0" applyNumberFormat="1" applyFont="1" applyFill="1" applyAlignment="1">
      <alignment horizontal="center" vertical="center"/>
    </xf>
    <xf numFmtId="172" fontId="5" fillId="2" borderId="0" xfId="1" applyNumberFormat="1" applyFont="1" applyFill="1" applyBorder="1" applyAlignment="1">
      <alignment horizontal="right" vertical="center"/>
    </xf>
    <xf numFmtId="172" fontId="8" fillId="2" borderId="0" xfId="1" applyNumberFormat="1" applyFont="1" applyFill="1" applyBorder="1" applyAlignment="1">
      <alignment horizontal="right" vertical="center"/>
    </xf>
    <xf numFmtId="164" fontId="8" fillId="2" borderId="0" xfId="1" applyNumberFormat="1" applyFont="1" applyFill="1" applyBorder="1" applyAlignment="1">
      <alignment horizontal="right" vertical="center"/>
    </xf>
    <xf numFmtId="172" fontId="7" fillId="2" borderId="0" xfId="1" applyNumberFormat="1" applyFont="1" applyFill="1" applyBorder="1" applyAlignment="1">
      <alignment horizontal="right" vertical="center"/>
    </xf>
    <xf numFmtId="164" fontId="7" fillId="2" borderId="0" xfId="1" applyNumberFormat="1" applyFont="1" applyFill="1" applyBorder="1" applyAlignment="1">
      <alignment horizontal="right" vertical="center"/>
    </xf>
    <xf numFmtId="0" fontId="11" fillId="2" borderId="0" xfId="0" applyNumberFormat="1" applyFont="1" applyFill="1" applyBorder="1" applyAlignment="1">
      <alignment horizontal="left" vertical="center"/>
    </xf>
    <xf numFmtId="10" fontId="11" fillId="2" borderId="0" xfId="1" applyNumberFormat="1" applyFont="1" applyFill="1" applyBorder="1" applyAlignment="1">
      <alignment horizontal="right" vertical="center"/>
    </xf>
    <xf numFmtId="0" fontId="11" fillId="2" borderId="0" xfId="0" applyNumberFormat="1" applyFont="1" applyFill="1" applyBorder="1" applyAlignment="1">
      <alignment horizontal="right" vertical="center"/>
    </xf>
    <xf numFmtId="14" fontId="9" fillId="2" borderId="0" xfId="0" applyNumberFormat="1" applyFont="1" applyFill="1" applyAlignment="1">
      <alignment horizontal="left" vertical="center" wrapText="1"/>
    </xf>
    <xf numFmtId="0" fontId="3" fillId="3" borderId="0" xfId="0" applyFont="1" applyFill="1" applyBorder="1" applyAlignment="1">
      <alignment horizontal="center" vertical="center"/>
    </xf>
    <xf numFmtId="165" fontId="8" fillId="2" borderId="0" xfId="1" applyNumberFormat="1" applyFont="1" applyFill="1" applyBorder="1" applyAlignment="1">
      <alignment horizontal="right" vertical="center"/>
    </xf>
    <xf numFmtId="10" fontId="5" fillId="2" borderId="0" xfId="1" applyNumberFormat="1" applyFont="1" applyFill="1" applyBorder="1" applyAlignment="1">
      <alignment horizontal="right" vertical="center"/>
    </xf>
    <xf numFmtId="173" fontId="5" fillId="2" borderId="0" xfId="0" applyNumberFormat="1" applyFont="1" applyFill="1" applyAlignment="1">
      <alignment horizontal="center" vertical="center"/>
    </xf>
    <xf numFmtId="174" fontId="5" fillId="2" borderId="0" xfId="0" applyNumberFormat="1" applyFont="1" applyFill="1"/>
    <xf numFmtId="0" fontId="0" fillId="0" borderId="1" xfId="0" applyBorder="1" applyAlignment="1">
      <alignment vertical="center"/>
    </xf>
    <xf numFmtId="0" fontId="0" fillId="0" borderId="1" xfId="0" quotePrefix="1" applyBorder="1" applyAlignment="1">
      <alignment vertical="center" wrapText="1"/>
    </xf>
    <xf numFmtId="0" fontId="0" fillId="0" borderId="1" xfId="0" applyFill="1" applyBorder="1" applyAlignment="1">
      <alignment vertical="center"/>
    </xf>
    <xf numFmtId="0" fontId="0" fillId="0" borderId="1" xfId="0" applyBorder="1" applyAlignment="1">
      <alignment vertical="center" wrapText="1"/>
    </xf>
    <xf numFmtId="0" fontId="0" fillId="4" borderId="1" xfId="0" applyFill="1" applyBorder="1" applyAlignment="1">
      <alignment horizontal="center" vertical="center"/>
    </xf>
  </cellXfs>
  <cellStyles count="2">
    <cellStyle name="Heading 3" xfId="1" builtinId="1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466725</xdr:colOff>
          <xdr:row>13</xdr:row>
          <xdr:rowOff>19050</xdr:rowOff>
        </xdr:from>
        <xdr:to>
          <xdr:col>6</xdr:col>
          <xdr:colOff>828675</xdr:colOff>
          <xdr:row>13</xdr:row>
          <xdr:rowOff>390525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Simulare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13</xdr:row>
          <xdr:rowOff>495300</xdr:rowOff>
        </xdr:from>
        <xdr:to>
          <xdr:col>7</xdr:col>
          <xdr:colOff>0</xdr:colOff>
          <xdr:row>13</xdr:row>
          <xdr:rowOff>866775</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Arial"/>
                  <a:cs typeface="Arial"/>
                </a:rPr>
                <a:t>Salveaza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424"/>
  <sheetViews>
    <sheetView tabSelected="1" topLeftCell="A35" zoomScale="190" zoomScaleNormal="190" zoomScaleSheetLayoutView="175" zoomScalePageLayoutView="70" workbookViewId="0">
      <selection activeCell="D24" sqref="D24"/>
    </sheetView>
  </sheetViews>
  <sheetFormatPr defaultRowHeight="11.25" x14ac:dyDescent="0.2"/>
  <cols>
    <col min="1" max="1" width="12.42578125" style="21" customWidth="1"/>
    <col min="2" max="2" width="12.140625" style="21" customWidth="1"/>
    <col min="3" max="4" width="12.42578125" style="21" customWidth="1"/>
    <col min="5" max="5" width="13" style="21" customWidth="1"/>
    <col min="6" max="7" width="12.42578125" style="21" customWidth="1"/>
    <col min="8" max="8" width="10.140625" style="9" bestFit="1" customWidth="1"/>
    <col min="9" max="16384" width="9.140625" style="9"/>
  </cols>
  <sheetData>
    <row r="1" spans="1:9" x14ac:dyDescent="0.2">
      <c r="A1" s="43" t="s">
        <v>10</v>
      </c>
      <c r="B1" s="43"/>
      <c r="C1" s="43"/>
      <c r="D1" s="4"/>
      <c r="E1" s="43" t="s">
        <v>39</v>
      </c>
      <c r="F1" s="43"/>
      <c r="G1" s="43"/>
    </row>
    <row r="2" spans="1:9" ht="11.25" customHeight="1" x14ac:dyDescent="0.2">
      <c r="A2" s="10" t="s">
        <v>4</v>
      </c>
      <c r="B2" s="34">
        <v>1</v>
      </c>
      <c r="C2" s="11">
        <v>4.9800000000000004</v>
      </c>
      <c r="D2" s="4"/>
      <c r="E2" s="10" t="s">
        <v>17</v>
      </c>
      <c r="F2" s="12">
        <f ca="1">TODAY()</f>
        <v>45259</v>
      </c>
      <c r="G2" s="12">
        <f ca="1">DATE(YEAR($F$2),MONTH($F$2)+$C$6+1,DAY($F$2))</f>
        <v>56247</v>
      </c>
    </row>
    <row r="3" spans="1:9" ht="11.25" customHeight="1" x14ac:dyDescent="0.2">
      <c r="A3" s="10" t="s">
        <v>7</v>
      </c>
      <c r="B3" s="34">
        <f>$C$3/$C$2</f>
        <v>1606.4257028112449</v>
      </c>
      <c r="C3" s="11">
        <v>8000</v>
      </c>
      <c r="D3" s="4"/>
      <c r="E3" s="13" t="s">
        <v>19</v>
      </c>
      <c r="F3" s="35">
        <f>$G$3/$C$2</f>
        <v>50281.124497991965</v>
      </c>
      <c r="G3" s="36">
        <f>$C$4-$C$5</f>
        <v>250400</v>
      </c>
    </row>
    <row r="4" spans="1:9" x14ac:dyDescent="0.2">
      <c r="A4" s="13" t="s">
        <v>5</v>
      </c>
      <c r="B4" s="35">
        <v>70000</v>
      </c>
      <c r="C4" s="36">
        <f>$B$4*5</f>
        <v>350000</v>
      </c>
      <c r="D4" s="23"/>
      <c r="E4" s="14" t="str">
        <f>CONCATENATE("Rata primii ", B11, " ani")</f>
        <v>Rata primii 5 ani</v>
      </c>
      <c r="F4" s="34">
        <f>$G$4/$C$2</f>
        <v>340.96203131342895</v>
      </c>
      <c r="G4" s="11">
        <f>PMT($C$11/12,$C$6,-$G$3)</f>
        <v>1697.9909159408764</v>
      </c>
    </row>
    <row r="5" spans="1:9" x14ac:dyDescent="0.2">
      <c r="A5" s="6" t="str">
        <f>CONCATENATE("Avans (",ROUND($B$5/$B$4*100,2),"%)")</f>
        <v>Avans (28.57%)</v>
      </c>
      <c r="B5" s="37">
        <v>20000</v>
      </c>
      <c r="C5" s="38">
        <f>$B$5*$C$2</f>
        <v>99600.000000000015</v>
      </c>
      <c r="D5" s="23"/>
      <c r="E5" s="14" t="str">
        <f>CONCATENATE("Rata din anul ", B11+1,)</f>
        <v>Rata din anul 6</v>
      </c>
      <c r="F5" s="34">
        <f>$G$5/$C$2</f>
        <v>428.30469845968742</v>
      </c>
      <c r="G5" s="11">
        <f>PMT($C$12/12,$C$6,-$G$3)</f>
        <v>2132.9573983292435</v>
      </c>
    </row>
    <row r="6" spans="1:9" x14ac:dyDescent="0.2">
      <c r="A6" s="6" t="s">
        <v>31</v>
      </c>
      <c r="B6" s="7">
        <v>30</v>
      </c>
      <c r="C6" s="8">
        <f>$B$6*12</f>
        <v>360</v>
      </c>
      <c r="D6" s="23"/>
      <c r="E6" s="10" t="s">
        <v>18</v>
      </c>
      <c r="F6" s="34">
        <f>$G$6/$C$2</f>
        <v>443.85598942653667</v>
      </c>
      <c r="G6" s="11">
        <f>PMT($B$13/12,$C$6,-$G$3)</f>
        <v>2210.4028273441527</v>
      </c>
    </row>
    <row r="7" spans="1:9" x14ac:dyDescent="0.2">
      <c r="A7" s="15" t="s">
        <v>26</v>
      </c>
      <c r="B7" s="16" t="s">
        <v>28</v>
      </c>
      <c r="C7" s="17">
        <f>IF(B7="Da",0.003,0)</f>
        <v>3.0000000000000001E-3</v>
      </c>
      <c r="D7" s="23"/>
      <c r="E7" s="10" t="s">
        <v>11</v>
      </c>
      <c r="F7" s="34">
        <f>$G$7/$C$2</f>
        <v>66645.983935742959</v>
      </c>
      <c r="G7" s="11">
        <v>331897</v>
      </c>
    </row>
    <row r="8" spans="1:9" x14ac:dyDescent="0.2">
      <c r="A8" s="15" t="s">
        <v>24</v>
      </c>
      <c r="B8" s="16" t="s">
        <v>29</v>
      </c>
      <c r="C8" s="17">
        <f>IF(B8="Da",0.003,0)</f>
        <v>0</v>
      </c>
      <c r="D8" s="5"/>
      <c r="E8" s="13" t="s">
        <v>20</v>
      </c>
      <c r="F8" s="35">
        <f>$G8/$C2</f>
        <v>116927.19542614841</v>
      </c>
      <c r="G8" s="36">
        <v>582297.43322221912</v>
      </c>
    </row>
    <row r="9" spans="1:9" x14ac:dyDescent="0.2">
      <c r="A9" s="15" t="s">
        <v>27</v>
      </c>
      <c r="B9" s="16" t="s">
        <v>29</v>
      </c>
      <c r="C9" s="17">
        <f>IF(B9="Da",0.003,0)</f>
        <v>0</v>
      </c>
      <c r="D9" s="5"/>
      <c r="E9" s="39" t="s">
        <v>8</v>
      </c>
      <c r="F9" s="40">
        <f>$G$6/$C$3</f>
        <v>0.27630035341801906</v>
      </c>
      <c r="G9" s="41" t="str">
        <f>IF(F9*100&gt;25,"Nu esti eligibil","Esti eligibil")</f>
        <v>Nu esti eligibil</v>
      </c>
    </row>
    <row r="10" spans="1:9" x14ac:dyDescent="0.2">
      <c r="A10" s="13" t="s">
        <v>21</v>
      </c>
      <c r="B10" s="44" t="s">
        <v>23</v>
      </c>
      <c r="C10" s="44"/>
      <c r="D10" s="27"/>
      <c r="E10" s="9" t="s">
        <v>32</v>
      </c>
      <c r="F10" s="16">
        <v>29.833333333333332</v>
      </c>
      <c r="G10" s="18">
        <v>358</v>
      </c>
    </row>
    <row r="11" spans="1:9" x14ac:dyDescent="0.2">
      <c r="A11" s="14" t="s">
        <v>0</v>
      </c>
      <c r="B11" s="16">
        <v>5</v>
      </c>
      <c r="C11" s="29">
        <f>7.49%-$C$7</f>
        <v>7.1900000000000006E-2</v>
      </c>
      <c r="D11" s="28"/>
      <c r="E11" s="9"/>
      <c r="F11" s="9"/>
      <c r="G11" s="9"/>
      <c r="H11" s="19"/>
    </row>
    <row r="12" spans="1:9" x14ac:dyDescent="0.2">
      <c r="A12" s="14" t="s">
        <v>3</v>
      </c>
      <c r="B12" s="16">
        <f>$B$6-$B$11</f>
        <v>25</v>
      </c>
      <c r="C12" s="29">
        <f>9.95%-$C$7</f>
        <v>9.6499999999999989E-2</v>
      </c>
      <c r="D12" s="28"/>
      <c r="E12" s="9"/>
      <c r="F12" s="9"/>
      <c r="G12" s="9"/>
      <c r="H12" s="25"/>
      <c r="I12" s="47"/>
    </row>
    <row r="13" spans="1:9" x14ac:dyDescent="0.2">
      <c r="A13" s="20" t="s">
        <v>30</v>
      </c>
      <c r="B13" s="45">
        <v>0.1007</v>
      </c>
      <c r="C13" s="45"/>
      <c r="D13" s="4"/>
      <c r="E13" s="9"/>
      <c r="F13" s="9"/>
      <c r="G13" s="9"/>
      <c r="H13" s="26"/>
    </row>
    <row r="14" spans="1:9" ht="99" customHeight="1" x14ac:dyDescent="0.2">
      <c r="A14" s="42" t="s">
        <v>38</v>
      </c>
      <c r="B14" s="42"/>
      <c r="C14" s="42"/>
      <c r="D14" s="42"/>
      <c r="E14" s="42"/>
      <c r="F14" s="42"/>
      <c r="G14" s="42"/>
    </row>
    <row r="15" spans="1:9" x14ac:dyDescent="0.2">
      <c r="A15" s="24" t="s">
        <v>33</v>
      </c>
      <c r="B15" s="24" t="s">
        <v>2</v>
      </c>
      <c r="C15" s="24" t="s">
        <v>1</v>
      </c>
      <c r="D15" s="24" t="s">
        <v>6</v>
      </c>
      <c r="E15" s="24" t="s">
        <v>34</v>
      </c>
      <c r="F15" s="24" t="s">
        <v>9</v>
      </c>
      <c r="G15" s="24" t="s">
        <v>25</v>
      </c>
    </row>
    <row r="16" spans="1:9" x14ac:dyDescent="0.2">
      <c r="A16" s="46">
        <v>45259</v>
      </c>
      <c r="B16" s="21">
        <v>0</v>
      </c>
      <c r="C16" s="33">
        <v>0</v>
      </c>
      <c r="D16" s="33">
        <v>0</v>
      </c>
      <c r="E16" s="33">
        <v>0</v>
      </c>
      <c r="F16" s="33">
        <v>250400</v>
      </c>
      <c r="G16" s="33"/>
    </row>
    <row r="17" spans="1:7" x14ac:dyDescent="0.2">
      <c r="A17" s="46">
        <v>45320</v>
      </c>
      <c r="B17" s="21">
        <v>1</v>
      </c>
      <c r="C17" s="33">
        <v>695.55555555555554</v>
      </c>
      <c r="D17" s="33">
        <v>1500.3133333333335</v>
      </c>
      <c r="E17" s="33">
        <v>2195.8688888888892</v>
      </c>
      <c r="F17" s="33">
        <v>249704.44444444444</v>
      </c>
      <c r="G17" s="33">
        <v>1500</v>
      </c>
    </row>
    <row r="18" spans="1:7" hidden="1" x14ac:dyDescent="0.2">
      <c r="A18" s="46">
        <v>45351</v>
      </c>
      <c r="B18" s="21">
        <v>2</v>
      </c>
      <c r="C18" s="33">
        <v>0</v>
      </c>
      <c r="D18" s="33">
        <v>0</v>
      </c>
      <c r="E18" s="33">
        <v>0</v>
      </c>
      <c r="F18" s="33">
        <v>0</v>
      </c>
      <c r="G18" s="33"/>
    </row>
    <row r="19" spans="1:7" hidden="1" x14ac:dyDescent="0.2">
      <c r="A19" s="46">
        <v>45380</v>
      </c>
      <c r="B19" s="21">
        <v>3</v>
      </c>
      <c r="C19" s="33">
        <v>0</v>
      </c>
      <c r="D19" s="33">
        <v>0</v>
      </c>
      <c r="E19" s="33">
        <v>0</v>
      </c>
      <c r="F19" s="33">
        <v>0</v>
      </c>
      <c r="G19" s="33"/>
    </row>
    <row r="20" spans="1:7" x14ac:dyDescent="0.2">
      <c r="A20" s="46">
        <v>45411</v>
      </c>
      <c r="B20" s="21">
        <v>4</v>
      </c>
      <c r="C20" s="33">
        <v>695.55555555555554</v>
      </c>
      <c r="D20" s="33">
        <v>1487.1582962962964</v>
      </c>
      <c r="E20" s="33">
        <v>2182.7138518518518</v>
      </c>
      <c r="F20" s="33">
        <v>247508.88888888888</v>
      </c>
      <c r="G20" s="33"/>
    </row>
    <row r="21" spans="1:7" x14ac:dyDescent="0.2">
      <c r="A21" s="46">
        <v>45441</v>
      </c>
      <c r="B21" s="21">
        <v>5</v>
      </c>
      <c r="C21" s="33">
        <v>695.55555555555554</v>
      </c>
      <c r="D21" s="33">
        <v>1482.9907592592592</v>
      </c>
      <c r="E21" s="33">
        <v>2178.5463148148147</v>
      </c>
      <c r="F21" s="33">
        <v>246813.33333333331</v>
      </c>
      <c r="G21" s="33"/>
    </row>
    <row r="22" spans="1:7" x14ac:dyDescent="0.2">
      <c r="A22" s="46">
        <v>45472</v>
      </c>
      <c r="B22" s="21">
        <v>6</v>
      </c>
      <c r="C22" s="33">
        <v>695.55555555555554</v>
      </c>
      <c r="D22" s="33">
        <v>1478.8232222222223</v>
      </c>
      <c r="E22" s="33">
        <v>2174.3787777777779</v>
      </c>
      <c r="F22" s="33">
        <v>246117.77777777775</v>
      </c>
      <c r="G22" s="33"/>
    </row>
    <row r="23" spans="1:7" x14ac:dyDescent="0.2">
      <c r="A23" s="46">
        <v>45502</v>
      </c>
      <c r="B23" s="21">
        <v>7</v>
      </c>
      <c r="C23" s="33">
        <v>695.55555555555554</v>
      </c>
      <c r="D23" s="33">
        <v>1474.6556851851851</v>
      </c>
      <c r="E23" s="33">
        <v>2170.2112407407408</v>
      </c>
      <c r="F23" s="33">
        <v>245422.22222222219</v>
      </c>
      <c r="G23" s="33"/>
    </row>
    <row r="24" spans="1:7" x14ac:dyDescent="0.2">
      <c r="A24" s="46">
        <v>45533</v>
      </c>
      <c r="B24" s="21">
        <v>8</v>
      </c>
      <c r="C24" s="33">
        <v>695.55555555555554</v>
      </c>
      <c r="D24" s="33">
        <v>1470.488148148148</v>
      </c>
      <c r="E24" s="33">
        <v>2166.0437037037036</v>
      </c>
      <c r="F24" s="33">
        <v>244726.66666666663</v>
      </c>
      <c r="G24" s="33"/>
    </row>
    <row r="25" spans="1:7" x14ac:dyDescent="0.2">
      <c r="A25" s="46">
        <v>45564</v>
      </c>
      <c r="B25" s="21">
        <v>9</v>
      </c>
      <c r="C25" s="33">
        <v>695.55555555555554</v>
      </c>
      <c r="D25" s="33">
        <v>1466.320611111111</v>
      </c>
      <c r="E25" s="33">
        <v>2161.8761666666664</v>
      </c>
      <c r="F25" s="33">
        <v>244031.11111111107</v>
      </c>
      <c r="G25" s="33"/>
    </row>
    <row r="26" spans="1:7" x14ac:dyDescent="0.2">
      <c r="A26" s="46">
        <v>45594</v>
      </c>
      <c r="B26" s="21">
        <v>10</v>
      </c>
      <c r="C26" s="33">
        <v>695.55555555555554</v>
      </c>
      <c r="D26" s="33">
        <v>1462.1530740740739</v>
      </c>
      <c r="E26" s="33">
        <v>2157.7086296296293</v>
      </c>
      <c r="F26" s="33">
        <v>243335.5555555555</v>
      </c>
      <c r="G26" s="33"/>
    </row>
    <row r="27" spans="1:7" x14ac:dyDescent="0.2">
      <c r="A27" s="46">
        <v>45625</v>
      </c>
      <c r="B27" s="21">
        <v>11</v>
      </c>
      <c r="C27" s="33">
        <v>695.55555555555554</v>
      </c>
      <c r="D27" s="33">
        <v>1457.9855370370369</v>
      </c>
      <c r="E27" s="33">
        <v>2153.5410925925926</v>
      </c>
      <c r="F27" s="33">
        <v>242639.99999999994</v>
      </c>
      <c r="G27" s="33"/>
    </row>
    <row r="28" spans="1:7" x14ac:dyDescent="0.2">
      <c r="A28" s="46">
        <v>45655</v>
      </c>
      <c r="B28" s="21">
        <v>12</v>
      </c>
      <c r="C28" s="33">
        <v>695.55555555555554</v>
      </c>
      <c r="D28" s="33">
        <v>1453.8179999999998</v>
      </c>
      <c r="E28" s="33">
        <v>2149.3735555555554</v>
      </c>
      <c r="F28" s="33">
        <v>241944.44444444438</v>
      </c>
      <c r="G28" s="33"/>
    </row>
    <row r="29" spans="1:7" x14ac:dyDescent="0.2">
      <c r="A29" s="46">
        <v>45686</v>
      </c>
      <c r="B29" s="21">
        <v>13</v>
      </c>
      <c r="C29" s="33">
        <v>695.55555555555554</v>
      </c>
      <c r="D29" s="33">
        <v>1449.6504629629626</v>
      </c>
      <c r="E29" s="33">
        <v>2145.2060185185182</v>
      </c>
      <c r="F29" s="33">
        <v>241248.88888888882</v>
      </c>
      <c r="G29" s="33"/>
    </row>
    <row r="30" spans="1:7" x14ac:dyDescent="0.2">
      <c r="A30" s="46">
        <v>45717</v>
      </c>
      <c r="B30" s="21">
        <v>14</v>
      </c>
      <c r="C30" s="33">
        <v>695.55555555555554</v>
      </c>
      <c r="D30" s="33">
        <v>1445.4829259259257</v>
      </c>
      <c r="E30" s="33">
        <v>2141.0384814814811</v>
      </c>
      <c r="F30" s="33">
        <v>240553.33333333326</v>
      </c>
      <c r="G30" s="33"/>
    </row>
    <row r="31" spans="1:7" x14ac:dyDescent="0.2">
      <c r="A31" s="46">
        <v>45745</v>
      </c>
      <c r="B31" s="21">
        <v>15</v>
      </c>
      <c r="C31" s="33">
        <v>695.55555555555554</v>
      </c>
      <c r="D31" s="33">
        <v>1441.3153888888885</v>
      </c>
      <c r="E31" s="33">
        <v>2136.8709444444439</v>
      </c>
      <c r="F31" s="33">
        <v>239857.77777777769</v>
      </c>
      <c r="G31" s="33"/>
    </row>
    <row r="32" spans="1:7" x14ac:dyDescent="0.2">
      <c r="A32" s="46">
        <v>45776</v>
      </c>
      <c r="B32" s="21">
        <v>16</v>
      </c>
      <c r="C32" s="33">
        <v>695.55555555555554</v>
      </c>
      <c r="D32" s="33">
        <v>1437.1478518518516</v>
      </c>
      <c r="E32" s="33">
        <v>2132.7034074074072</v>
      </c>
      <c r="F32" s="33">
        <v>239162.22222222213</v>
      </c>
      <c r="G32" s="33"/>
    </row>
    <row r="33" spans="1:7" x14ac:dyDescent="0.2">
      <c r="A33" s="46">
        <v>45806</v>
      </c>
      <c r="B33" s="21">
        <v>17</v>
      </c>
      <c r="C33" s="33">
        <v>695.55555555555554</v>
      </c>
      <c r="D33" s="33">
        <v>1432.9803148148144</v>
      </c>
      <c r="E33" s="33">
        <v>2128.53587037037</v>
      </c>
      <c r="F33" s="33">
        <v>238466.66666666657</v>
      </c>
      <c r="G33" s="33"/>
    </row>
    <row r="34" spans="1:7" x14ac:dyDescent="0.2">
      <c r="A34" s="46">
        <v>45837</v>
      </c>
      <c r="B34" s="21">
        <v>18</v>
      </c>
      <c r="C34" s="33">
        <v>695.55555555555554</v>
      </c>
      <c r="D34" s="33">
        <v>1428.8127777777772</v>
      </c>
      <c r="E34" s="33">
        <v>2124.3683333333329</v>
      </c>
      <c r="F34" s="33">
        <v>237771.11111111101</v>
      </c>
      <c r="G34" s="33"/>
    </row>
    <row r="35" spans="1:7" x14ac:dyDescent="0.2">
      <c r="A35" s="46">
        <v>45867</v>
      </c>
      <c r="B35" s="21">
        <v>19</v>
      </c>
      <c r="C35" s="33">
        <v>695.55555555555554</v>
      </c>
      <c r="D35" s="33">
        <v>1424.6452407407403</v>
      </c>
      <c r="E35" s="33">
        <v>2120.2007962962957</v>
      </c>
      <c r="F35" s="33">
        <v>237075.55555555545</v>
      </c>
      <c r="G35" s="33"/>
    </row>
    <row r="36" spans="1:7" x14ac:dyDescent="0.2">
      <c r="A36" s="46">
        <v>45898</v>
      </c>
      <c r="B36" s="21">
        <v>20</v>
      </c>
      <c r="C36" s="33">
        <v>695.55555555555554</v>
      </c>
      <c r="D36" s="33">
        <v>1420.4777037037031</v>
      </c>
      <c r="E36" s="33">
        <v>2116.0332592592586</v>
      </c>
      <c r="F36" s="33">
        <v>236379.99999999988</v>
      </c>
      <c r="G36" s="33"/>
    </row>
    <row r="37" spans="1:7" x14ac:dyDescent="0.2">
      <c r="A37" s="46">
        <v>45929</v>
      </c>
      <c r="B37" s="21">
        <v>21</v>
      </c>
      <c r="C37" s="33">
        <v>695.55555555555554</v>
      </c>
      <c r="D37" s="33">
        <v>1416.3101666666662</v>
      </c>
      <c r="E37" s="33">
        <v>2111.8657222222218</v>
      </c>
      <c r="F37" s="33">
        <v>235684.44444444432</v>
      </c>
      <c r="G37" s="33"/>
    </row>
    <row r="38" spans="1:7" x14ac:dyDescent="0.2">
      <c r="A38" s="46">
        <v>45959</v>
      </c>
      <c r="B38" s="21">
        <v>22</v>
      </c>
      <c r="C38" s="33">
        <v>695.55555555555554</v>
      </c>
      <c r="D38" s="33">
        <v>1412.142629629629</v>
      </c>
      <c r="E38" s="33">
        <v>2107.6981851851847</v>
      </c>
      <c r="F38" s="33">
        <v>234988.88888888876</v>
      </c>
      <c r="G38" s="33"/>
    </row>
    <row r="39" spans="1:7" x14ac:dyDescent="0.2">
      <c r="A39" s="46">
        <v>45990</v>
      </c>
      <c r="B39" s="21">
        <v>23</v>
      </c>
      <c r="C39" s="33">
        <v>695.55555555555554</v>
      </c>
      <c r="D39" s="33">
        <v>1407.9750925925919</v>
      </c>
      <c r="E39" s="33">
        <v>2103.5306481481475</v>
      </c>
      <c r="F39" s="33">
        <v>234293.3333333332</v>
      </c>
      <c r="G39" s="33"/>
    </row>
    <row r="40" spans="1:7" x14ac:dyDescent="0.2">
      <c r="A40" s="46">
        <v>46020</v>
      </c>
      <c r="B40" s="21">
        <v>24</v>
      </c>
      <c r="C40" s="33">
        <v>695.55555555555554</v>
      </c>
      <c r="D40" s="33">
        <v>1403.8075555555549</v>
      </c>
      <c r="E40" s="33">
        <v>2099.3631111111104</v>
      </c>
      <c r="F40" s="33">
        <v>233597.77777777764</v>
      </c>
      <c r="G40" s="33"/>
    </row>
    <row r="41" spans="1:7" x14ac:dyDescent="0.2">
      <c r="A41" s="46">
        <v>46051</v>
      </c>
      <c r="B41" s="21">
        <v>25</v>
      </c>
      <c r="C41" s="33">
        <v>695.55555555555554</v>
      </c>
      <c r="D41" s="33">
        <v>1399.6400185185178</v>
      </c>
      <c r="E41" s="33">
        <v>2095.1955740740732</v>
      </c>
      <c r="F41" s="33">
        <v>232902.22222222207</v>
      </c>
      <c r="G41" s="33"/>
    </row>
    <row r="42" spans="1:7" x14ac:dyDescent="0.2">
      <c r="A42" s="46">
        <v>46082</v>
      </c>
      <c r="B42" s="21">
        <v>26</v>
      </c>
      <c r="C42" s="33">
        <v>695.55555555555554</v>
      </c>
      <c r="D42" s="33">
        <v>1395.4724814814806</v>
      </c>
      <c r="E42" s="33">
        <v>2091.028037037036</v>
      </c>
      <c r="F42" s="33">
        <v>232206.66666666651</v>
      </c>
      <c r="G42" s="33"/>
    </row>
    <row r="43" spans="1:7" x14ac:dyDescent="0.2">
      <c r="A43" s="46">
        <v>46110</v>
      </c>
      <c r="B43" s="21">
        <v>27</v>
      </c>
      <c r="C43" s="33">
        <v>695.55555555555554</v>
      </c>
      <c r="D43" s="33">
        <v>1391.3049444444437</v>
      </c>
      <c r="E43" s="33">
        <v>2086.8604999999993</v>
      </c>
      <c r="F43" s="33">
        <v>231511.11111111095</v>
      </c>
      <c r="G43" s="33"/>
    </row>
    <row r="44" spans="1:7" x14ac:dyDescent="0.2">
      <c r="A44" s="46">
        <v>46141</v>
      </c>
      <c r="B44" s="21">
        <v>28</v>
      </c>
      <c r="C44" s="33">
        <v>695.55555555555554</v>
      </c>
      <c r="D44" s="33">
        <v>1387.1374074074065</v>
      </c>
      <c r="E44" s="33">
        <v>2082.6929629629622</v>
      </c>
      <c r="F44" s="33">
        <v>230815.55555555539</v>
      </c>
      <c r="G44" s="33"/>
    </row>
    <row r="45" spans="1:7" x14ac:dyDescent="0.2">
      <c r="A45" s="46">
        <v>46171</v>
      </c>
      <c r="B45" s="21">
        <v>29</v>
      </c>
      <c r="C45" s="33">
        <v>695.55555555555554</v>
      </c>
      <c r="D45" s="33">
        <v>1382.9698703703696</v>
      </c>
      <c r="E45" s="33">
        <v>2078.525425925925</v>
      </c>
      <c r="F45" s="33">
        <v>230119.99999999983</v>
      </c>
      <c r="G45" s="33"/>
    </row>
    <row r="46" spans="1:7" x14ac:dyDescent="0.2">
      <c r="A46" s="46">
        <v>46202</v>
      </c>
      <c r="B46" s="21">
        <v>30</v>
      </c>
      <c r="C46" s="33">
        <v>695.55555555555554</v>
      </c>
      <c r="D46" s="33">
        <v>1378.8023333333324</v>
      </c>
      <c r="E46" s="33">
        <v>2074.3578888888878</v>
      </c>
      <c r="F46" s="33">
        <v>229424.44444444426</v>
      </c>
      <c r="G46" s="33"/>
    </row>
    <row r="47" spans="1:7" x14ac:dyDescent="0.2">
      <c r="A47" s="46">
        <v>46232</v>
      </c>
      <c r="B47" s="21">
        <v>31</v>
      </c>
      <c r="C47" s="33">
        <v>695.55555555555554</v>
      </c>
      <c r="D47" s="33">
        <v>1374.6347962962952</v>
      </c>
      <c r="E47" s="33">
        <v>2070.1903518518507</v>
      </c>
      <c r="F47" s="33">
        <v>228728.8888888887</v>
      </c>
      <c r="G47" s="33"/>
    </row>
    <row r="48" spans="1:7" x14ac:dyDescent="0.2">
      <c r="A48" s="46">
        <v>46263</v>
      </c>
      <c r="B48" s="21">
        <v>32</v>
      </c>
      <c r="C48" s="33">
        <v>695.55555555555554</v>
      </c>
      <c r="D48" s="33">
        <v>1370.4672592592583</v>
      </c>
      <c r="E48" s="33">
        <v>2066.022814814814</v>
      </c>
      <c r="F48" s="33">
        <v>228033.33333333314</v>
      </c>
      <c r="G48" s="33"/>
    </row>
    <row r="49" spans="1:7" x14ac:dyDescent="0.2">
      <c r="A49" s="46">
        <v>46294</v>
      </c>
      <c r="B49" s="21">
        <v>33</v>
      </c>
      <c r="C49" s="33">
        <v>695.55555555555554</v>
      </c>
      <c r="D49" s="33">
        <v>1366.2997222222211</v>
      </c>
      <c r="E49" s="33">
        <v>2061.8552777777768</v>
      </c>
      <c r="F49" s="33">
        <v>227337.77777777758</v>
      </c>
      <c r="G49" s="33"/>
    </row>
    <row r="50" spans="1:7" x14ac:dyDescent="0.2">
      <c r="A50" s="46">
        <v>46324</v>
      </c>
      <c r="B50" s="21">
        <v>34</v>
      </c>
      <c r="C50" s="33">
        <v>695.55555555555554</v>
      </c>
      <c r="D50" s="33">
        <v>1362.1321851851842</v>
      </c>
      <c r="E50" s="33">
        <v>2057.6877407407396</v>
      </c>
      <c r="F50" s="33">
        <v>226642.22222222202</v>
      </c>
      <c r="G50" s="33"/>
    </row>
    <row r="51" spans="1:7" x14ac:dyDescent="0.2">
      <c r="A51" s="46">
        <v>46355</v>
      </c>
      <c r="B51" s="21">
        <v>35</v>
      </c>
      <c r="C51" s="33">
        <v>695.55555555555554</v>
      </c>
      <c r="D51" s="33">
        <v>1357.964648148147</v>
      </c>
      <c r="E51" s="33">
        <v>2053.5202037037025</v>
      </c>
      <c r="F51" s="33">
        <v>225946.66666666645</v>
      </c>
      <c r="G51" s="33"/>
    </row>
    <row r="52" spans="1:7" x14ac:dyDescent="0.2">
      <c r="A52" s="46">
        <v>46385</v>
      </c>
      <c r="B52" s="21">
        <v>36</v>
      </c>
      <c r="C52" s="33">
        <v>695.55555555555554</v>
      </c>
      <c r="D52" s="33">
        <v>1353.7971111111099</v>
      </c>
      <c r="E52" s="33">
        <v>2049.3526666666653</v>
      </c>
      <c r="F52" s="33">
        <v>225251.11111111089</v>
      </c>
      <c r="G52" s="33"/>
    </row>
    <row r="53" spans="1:7" x14ac:dyDescent="0.2">
      <c r="A53" s="46">
        <v>46416</v>
      </c>
      <c r="B53" s="21">
        <v>37</v>
      </c>
      <c r="C53" s="33">
        <v>695.55555555555554</v>
      </c>
      <c r="D53" s="33">
        <v>1349.6295740740729</v>
      </c>
      <c r="E53" s="33">
        <v>2045.1851296296286</v>
      </c>
      <c r="F53" s="33">
        <v>224555.55555555533</v>
      </c>
      <c r="G53" s="33"/>
    </row>
    <row r="54" spans="1:7" x14ac:dyDescent="0.2">
      <c r="A54" s="46">
        <v>46447</v>
      </c>
      <c r="B54" s="21">
        <v>38</v>
      </c>
      <c r="C54" s="33">
        <v>695.55555555555554</v>
      </c>
      <c r="D54" s="33">
        <v>1345.4620370370358</v>
      </c>
      <c r="E54" s="33">
        <v>2041.0175925925914</v>
      </c>
      <c r="F54" s="33">
        <v>223859.99999999977</v>
      </c>
      <c r="G54" s="33"/>
    </row>
    <row r="55" spans="1:7" x14ac:dyDescent="0.2">
      <c r="A55" s="46">
        <v>46475</v>
      </c>
      <c r="B55" s="21">
        <v>39</v>
      </c>
      <c r="C55" s="33">
        <v>695.55555555555554</v>
      </c>
      <c r="D55" s="33">
        <v>1341.2944999999986</v>
      </c>
      <c r="E55" s="33">
        <v>2036.8500555555543</v>
      </c>
      <c r="F55" s="33">
        <v>223164.44444444421</v>
      </c>
      <c r="G55" s="33"/>
    </row>
    <row r="56" spans="1:7" x14ac:dyDescent="0.2">
      <c r="A56" s="46">
        <v>46506</v>
      </c>
      <c r="B56" s="21">
        <v>40</v>
      </c>
      <c r="C56" s="33">
        <v>695.55555555555554</v>
      </c>
      <c r="D56" s="33">
        <v>1337.1269629629617</v>
      </c>
      <c r="E56" s="33">
        <v>2032.6825185185171</v>
      </c>
      <c r="F56" s="33">
        <v>222468.88888888864</v>
      </c>
      <c r="G56" s="33"/>
    </row>
    <row r="57" spans="1:7" x14ac:dyDescent="0.2">
      <c r="A57" s="46">
        <v>46536</v>
      </c>
      <c r="B57" s="21">
        <v>41</v>
      </c>
      <c r="C57" s="33">
        <v>695.55555555555554</v>
      </c>
      <c r="D57" s="33">
        <v>1332.9594259259245</v>
      </c>
      <c r="E57" s="33">
        <v>2028.5149814814799</v>
      </c>
      <c r="F57" s="33">
        <v>221773.33333333308</v>
      </c>
      <c r="G57" s="33"/>
    </row>
    <row r="58" spans="1:7" x14ac:dyDescent="0.2">
      <c r="A58" s="46">
        <v>46567</v>
      </c>
      <c r="B58" s="21">
        <v>42</v>
      </c>
      <c r="C58" s="33">
        <v>695.55555555555554</v>
      </c>
      <c r="D58" s="33">
        <v>1328.7918888888876</v>
      </c>
      <c r="E58" s="33">
        <v>2024.3474444444432</v>
      </c>
      <c r="F58" s="33">
        <v>221077.77777777752</v>
      </c>
      <c r="G58" s="33"/>
    </row>
    <row r="59" spans="1:7" x14ac:dyDescent="0.2">
      <c r="A59" s="46">
        <v>46597</v>
      </c>
      <c r="B59" s="21">
        <v>43</v>
      </c>
      <c r="C59" s="33">
        <v>695.55555555555554</v>
      </c>
      <c r="D59" s="33">
        <v>1324.6243518518504</v>
      </c>
      <c r="E59" s="33">
        <v>2020.1799074074061</v>
      </c>
      <c r="F59" s="33">
        <v>220382.22222222196</v>
      </c>
      <c r="G59" s="33"/>
    </row>
    <row r="60" spans="1:7" x14ac:dyDescent="0.2">
      <c r="A60" s="46">
        <v>46628</v>
      </c>
      <c r="B60" s="21">
        <v>44</v>
      </c>
      <c r="C60" s="33">
        <v>695.55555555555554</v>
      </c>
      <c r="D60" s="33">
        <v>1320.4568148148132</v>
      </c>
      <c r="E60" s="33">
        <v>2016.0123703703689</v>
      </c>
      <c r="F60" s="33">
        <v>219686.6666666664</v>
      </c>
      <c r="G60" s="33"/>
    </row>
    <row r="61" spans="1:7" x14ac:dyDescent="0.2">
      <c r="A61" s="46">
        <v>46659</v>
      </c>
      <c r="B61" s="21">
        <v>45</v>
      </c>
      <c r="C61" s="33">
        <v>695.55555555555554</v>
      </c>
      <c r="D61" s="33">
        <v>1316.2892777777763</v>
      </c>
      <c r="E61" s="33">
        <v>2011.8448333333317</v>
      </c>
      <c r="F61" s="33">
        <v>218991.11111111083</v>
      </c>
      <c r="G61" s="33"/>
    </row>
    <row r="62" spans="1:7" x14ac:dyDescent="0.2">
      <c r="A62" s="46">
        <v>46689</v>
      </c>
      <c r="B62" s="21">
        <v>46</v>
      </c>
      <c r="C62" s="33">
        <v>695.55555555555554</v>
      </c>
      <c r="D62" s="33">
        <v>1312.1217407407391</v>
      </c>
      <c r="E62" s="33">
        <v>2007.6772962962946</v>
      </c>
      <c r="F62" s="33">
        <v>218295.55555555527</v>
      </c>
      <c r="G62" s="33"/>
    </row>
    <row r="63" spans="1:7" x14ac:dyDescent="0.2">
      <c r="A63" s="46">
        <v>46720</v>
      </c>
      <c r="B63" s="21">
        <v>47</v>
      </c>
      <c r="C63" s="33">
        <v>695.55555555555554</v>
      </c>
      <c r="D63" s="33">
        <v>1307.9542037037022</v>
      </c>
      <c r="E63" s="33">
        <v>2003.5097592592579</v>
      </c>
      <c r="F63" s="33">
        <v>217599.99999999971</v>
      </c>
      <c r="G63" s="33"/>
    </row>
    <row r="64" spans="1:7" x14ac:dyDescent="0.2">
      <c r="A64" s="46">
        <v>46750</v>
      </c>
      <c r="B64" s="21">
        <v>48</v>
      </c>
      <c r="C64" s="33">
        <v>695.55555555555554</v>
      </c>
      <c r="D64" s="33">
        <v>1303.786666666665</v>
      </c>
      <c r="E64" s="33">
        <v>1999.3422222222207</v>
      </c>
      <c r="F64" s="33">
        <v>216904.44444444415</v>
      </c>
      <c r="G64" s="33"/>
    </row>
    <row r="65" spans="1:7" x14ac:dyDescent="0.2">
      <c r="A65" s="46">
        <v>46781</v>
      </c>
      <c r="B65" s="21">
        <v>49</v>
      </c>
      <c r="C65" s="33">
        <v>695.55555555555554</v>
      </c>
      <c r="D65" s="33">
        <v>1299.6191296296279</v>
      </c>
      <c r="E65" s="33">
        <v>1995.1746851851835</v>
      </c>
      <c r="F65" s="33">
        <v>216208.88888888858</v>
      </c>
      <c r="G65" s="33"/>
    </row>
    <row r="66" spans="1:7" x14ac:dyDescent="0.2">
      <c r="A66" s="46">
        <v>46812</v>
      </c>
      <c r="B66" s="21">
        <v>50</v>
      </c>
      <c r="C66" s="33">
        <v>695.55555555555554</v>
      </c>
      <c r="D66" s="33">
        <v>1295.4515925925909</v>
      </c>
      <c r="E66" s="33">
        <v>1991.0071481481464</v>
      </c>
      <c r="F66" s="33">
        <v>215513.33333333302</v>
      </c>
      <c r="G66" s="33"/>
    </row>
    <row r="67" spans="1:7" x14ac:dyDescent="0.2">
      <c r="A67" s="46">
        <v>46841</v>
      </c>
      <c r="B67" s="21">
        <v>51</v>
      </c>
      <c r="C67" s="33">
        <v>695.55555555555554</v>
      </c>
      <c r="D67" s="33">
        <v>1291.2840555555538</v>
      </c>
      <c r="E67" s="33">
        <v>1986.8396111111092</v>
      </c>
      <c r="F67" s="33">
        <v>214817.77777777746</v>
      </c>
      <c r="G67" s="33"/>
    </row>
    <row r="68" spans="1:7" x14ac:dyDescent="0.2">
      <c r="A68" s="46">
        <v>46872</v>
      </c>
      <c r="B68" s="21">
        <v>52</v>
      </c>
      <c r="C68" s="33">
        <v>695.55555555555554</v>
      </c>
      <c r="D68" s="33">
        <v>1287.1165185185166</v>
      </c>
      <c r="E68" s="33">
        <v>1982.672074074072</v>
      </c>
      <c r="F68" s="33">
        <v>214122.2222222219</v>
      </c>
      <c r="G68" s="33"/>
    </row>
    <row r="69" spans="1:7" x14ac:dyDescent="0.2">
      <c r="A69" s="46">
        <v>46902</v>
      </c>
      <c r="B69" s="21">
        <v>53</v>
      </c>
      <c r="C69" s="33">
        <v>695.55555555555554</v>
      </c>
      <c r="D69" s="33">
        <v>1282.9489814814797</v>
      </c>
      <c r="E69" s="33">
        <v>1978.5045370370353</v>
      </c>
      <c r="F69" s="33">
        <v>213426.66666666634</v>
      </c>
      <c r="G69" s="33"/>
    </row>
    <row r="70" spans="1:7" x14ac:dyDescent="0.2">
      <c r="A70" s="46">
        <v>46933</v>
      </c>
      <c r="B70" s="21">
        <v>54</v>
      </c>
      <c r="C70" s="33">
        <v>695.55555555555554</v>
      </c>
      <c r="D70" s="33">
        <v>1278.7814444444425</v>
      </c>
      <c r="E70" s="33">
        <v>1974.3369999999982</v>
      </c>
      <c r="F70" s="33">
        <v>212731.11111111077</v>
      </c>
      <c r="G70" s="33"/>
    </row>
    <row r="71" spans="1:7" x14ac:dyDescent="0.2">
      <c r="A71" s="46">
        <v>46963</v>
      </c>
      <c r="B71" s="21">
        <v>55</v>
      </c>
      <c r="C71" s="33">
        <v>695.55555555555554</v>
      </c>
      <c r="D71" s="33">
        <v>1274.6139074074056</v>
      </c>
      <c r="E71" s="33">
        <v>1970.169462962961</v>
      </c>
      <c r="F71" s="33">
        <v>212035.55555555521</v>
      </c>
      <c r="G71" s="33"/>
    </row>
    <row r="72" spans="1:7" x14ac:dyDescent="0.2">
      <c r="A72" s="46">
        <v>46994</v>
      </c>
      <c r="B72" s="21">
        <v>56</v>
      </c>
      <c r="C72" s="33">
        <v>695.55555555555554</v>
      </c>
      <c r="D72" s="33">
        <v>1270.4463703703684</v>
      </c>
      <c r="E72" s="33">
        <v>1966.0019259259238</v>
      </c>
      <c r="F72" s="33">
        <v>211339.99999999965</v>
      </c>
      <c r="G72" s="33"/>
    </row>
    <row r="73" spans="1:7" x14ac:dyDescent="0.2">
      <c r="A73" s="46">
        <v>47025</v>
      </c>
      <c r="B73" s="21">
        <v>57</v>
      </c>
      <c r="C73" s="33">
        <v>695.55555555555554</v>
      </c>
      <c r="D73" s="33">
        <v>1266.2788333333312</v>
      </c>
      <c r="E73" s="33">
        <v>1961.8343888888867</v>
      </c>
      <c r="F73" s="33">
        <v>210644.44444444409</v>
      </c>
      <c r="G73" s="33"/>
    </row>
    <row r="74" spans="1:7" x14ac:dyDescent="0.2">
      <c r="A74" s="46">
        <v>47055</v>
      </c>
      <c r="B74" s="21">
        <v>58</v>
      </c>
      <c r="C74" s="33">
        <v>695.55555555555554</v>
      </c>
      <c r="D74" s="33">
        <v>1262.1112962962943</v>
      </c>
      <c r="E74" s="33">
        <v>1957.66685185185</v>
      </c>
      <c r="F74" s="33">
        <v>209948.88888888853</v>
      </c>
      <c r="G74" s="33"/>
    </row>
    <row r="75" spans="1:7" x14ac:dyDescent="0.2">
      <c r="A75" s="46">
        <v>47086</v>
      </c>
      <c r="B75" s="21">
        <v>59</v>
      </c>
      <c r="C75" s="33">
        <v>695.55555555555554</v>
      </c>
      <c r="D75" s="33">
        <v>1257.9437592592571</v>
      </c>
      <c r="E75" s="33">
        <v>1953.4993148148128</v>
      </c>
      <c r="F75" s="33">
        <v>209253.33333333296</v>
      </c>
      <c r="G75" s="33"/>
    </row>
    <row r="76" spans="1:7" x14ac:dyDescent="0.2">
      <c r="A76" s="46">
        <v>47116</v>
      </c>
      <c r="B76" s="21">
        <v>60</v>
      </c>
      <c r="C76" s="33">
        <v>695.55555555555554</v>
      </c>
      <c r="D76" s="33">
        <v>1253.7762222222202</v>
      </c>
      <c r="E76" s="33">
        <v>1949.3317777777756</v>
      </c>
      <c r="F76" s="33">
        <v>208557.7777777774</v>
      </c>
      <c r="G76" s="33"/>
    </row>
    <row r="77" spans="1:7" x14ac:dyDescent="0.2">
      <c r="A77" s="46">
        <v>47147</v>
      </c>
      <c r="B77" s="21">
        <v>61</v>
      </c>
      <c r="C77" s="33">
        <v>695.55555555555554</v>
      </c>
      <c r="D77" s="33">
        <v>1677.1521296296264</v>
      </c>
      <c r="E77" s="33">
        <v>2372.7076851851821</v>
      </c>
      <c r="F77" s="33">
        <v>207862.22222222184</v>
      </c>
      <c r="G77" s="33"/>
    </row>
    <row r="78" spans="1:7" x14ac:dyDescent="0.2">
      <c r="A78" s="46">
        <v>47178</v>
      </c>
      <c r="B78" s="21">
        <v>62</v>
      </c>
      <c r="C78" s="33">
        <v>695.55555555555554</v>
      </c>
      <c r="D78" s="33">
        <v>1671.5587037037005</v>
      </c>
      <c r="E78" s="33">
        <v>2367.114259259256</v>
      </c>
      <c r="F78" s="33">
        <v>207166.66666666628</v>
      </c>
      <c r="G78" s="33"/>
    </row>
    <row r="79" spans="1:7" x14ac:dyDescent="0.2">
      <c r="A79" s="46">
        <v>47206</v>
      </c>
      <c r="B79" s="21">
        <v>63</v>
      </c>
      <c r="C79" s="33">
        <v>695.55555555555554</v>
      </c>
      <c r="D79" s="33">
        <v>1665.9652777777744</v>
      </c>
      <c r="E79" s="33">
        <v>2361.5208333333298</v>
      </c>
      <c r="F79" s="33">
        <v>206471.11111111072</v>
      </c>
      <c r="G79" s="33"/>
    </row>
    <row r="80" spans="1:7" x14ac:dyDescent="0.2">
      <c r="A80" s="46">
        <v>47237</v>
      </c>
      <c r="B80" s="21">
        <v>64</v>
      </c>
      <c r="C80" s="33">
        <v>695.55555555555554</v>
      </c>
      <c r="D80" s="33">
        <v>1660.3718518518485</v>
      </c>
      <c r="E80" s="33">
        <v>2355.9274074074042</v>
      </c>
      <c r="F80" s="33">
        <v>205775.55555555515</v>
      </c>
      <c r="G80" s="33"/>
    </row>
    <row r="81" spans="1:7" x14ac:dyDescent="0.2">
      <c r="A81" s="46">
        <v>47267</v>
      </c>
      <c r="B81" s="21">
        <v>65</v>
      </c>
      <c r="C81" s="33">
        <v>695.55555555555554</v>
      </c>
      <c r="D81" s="33">
        <v>1654.7784259259224</v>
      </c>
      <c r="E81" s="33">
        <v>2350.3339814814781</v>
      </c>
      <c r="F81" s="33">
        <v>205079.99999999959</v>
      </c>
      <c r="G81" s="33"/>
    </row>
    <row r="82" spans="1:7" x14ac:dyDescent="0.2">
      <c r="A82" s="46">
        <v>47298</v>
      </c>
      <c r="B82" s="21">
        <v>66</v>
      </c>
      <c r="C82" s="33">
        <v>695.55555555555554</v>
      </c>
      <c r="D82" s="33">
        <v>1649.1849999999965</v>
      </c>
      <c r="E82" s="33">
        <v>2344.740555555552</v>
      </c>
      <c r="F82" s="33">
        <v>204384.44444444403</v>
      </c>
      <c r="G82" s="33"/>
    </row>
    <row r="83" spans="1:7" x14ac:dyDescent="0.2">
      <c r="A83" s="46">
        <v>47328</v>
      </c>
      <c r="B83" s="21">
        <v>67</v>
      </c>
      <c r="C83" s="33">
        <v>695.55555555555554</v>
      </c>
      <c r="D83" s="33">
        <v>1643.5915740740706</v>
      </c>
      <c r="E83" s="33">
        <v>2339.1471296296263</v>
      </c>
      <c r="F83" s="33">
        <v>203688.88888888847</v>
      </c>
      <c r="G83" s="33"/>
    </row>
    <row r="84" spans="1:7" x14ac:dyDescent="0.2">
      <c r="A84" s="46">
        <v>47359</v>
      </c>
      <c r="B84" s="21">
        <v>68</v>
      </c>
      <c r="C84" s="33">
        <v>695.55555555555554</v>
      </c>
      <c r="D84" s="33">
        <v>1637.9981481481445</v>
      </c>
      <c r="E84" s="33">
        <v>2333.5537037037002</v>
      </c>
      <c r="F84" s="33">
        <v>202993.33333333291</v>
      </c>
      <c r="G84" s="33"/>
    </row>
    <row r="85" spans="1:7" x14ac:dyDescent="0.2">
      <c r="A85" s="46">
        <v>47390</v>
      </c>
      <c r="B85" s="21">
        <v>69</v>
      </c>
      <c r="C85" s="33">
        <v>695.55555555555554</v>
      </c>
      <c r="D85" s="33">
        <v>1632.4047222222187</v>
      </c>
      <c r="E85" s="33">
        <v>2327.9602777777741</v>
      </c>
      <c r="F85" s="33">
        <v>202297.77777777734</v>
      </c>
      <c r="G85" s="33"/>
    </row>
    <row r="86" spans="1:7" x14ac:dyDescent="0.2">
      <c r="A86" s="46">
        <v>47420</v>
      </c>
      <c r="B86" s="21">
        <v>70</v>
      </c>
      <c r="C86" s="33">
        <v>695.55555555555554</v>
      </c>
      <c r="D86" s="33">
        <v>1626.8112962962925</v>
      </c>
      <c r="E86" s="33">
        <v>2322.366851851848</v>
      </c>
      <c r="F86" s="33">
        <v>201602.22222222178</v>
      </c>
      <c r="G86" s="33"/>
    </row>
    <row r="87" spans="1:7" x14ac:dyDescent="0.2">
      <c r="A87" s="46">
        <v>47451</v>
      </c>
      <c r="B87" s="21">
        <v>71</v>
      </c>
      <c r="C87" s="33">
        <v>695.55555555555554</v>
      </c>
      <c r="D87" s="33">
        <v>1621.2178703703667</v>
      </c>
      <c r="E87" s="33">
        <v>2316.7734259259223</v>
      </c>
      <c r="F87" s="33">
        <v>200906.66666666622</v>
      </c>
      <c r="G87" s="33"/>
    </row>
    <row r="88" spans="1:7" x14ac:dyDescent="0.2">
      <c r="A88" s="46">
        <v>47481</v>
      </c>
      <c r="B88" s="21">
        <v>72</v>
      </c>
      <c r="C88" s="33">
        <v>695.55555555555554</v>
      </c>
      <c r="D88" s="33">
        <v>1615.6244444444408</v>
      </c>
      <c r="E88" s="33">
        <v>2311.1799999999962</v>
      </c>
      <c r="F88" s="33">
        <v>200211.11111111066</v>
      </c>
      <c r="G88" s="33"/>
    </row>
    <row r="89" spans="1:7" x14ac:dyDescent="0.2">
      <c r="A89" s="46">
        <v>47512</v>
      </c>
      <c r="B89" s="21">
        <v>73</v>
      </c>
      <c r="C89" s="33">
        <v>695.55555555555554</v>
      </c>
      <c r="D89" s="33">
        <v>1610.0310185185147</v>
      </c>
      <c r="E89" s="33">
        <v>2305.5865740740701</v>
      </c>
      <c r="F89" s="33">
        <v>199515.5555555551</v>
      </c>
      <c r="G89" s="33"/>
    </row>
    <row r="90" spans="1:7" x14ac:dyDescent="0.2">
      <c r="A90" s="46">
        <v>47543</v>
      </c>
      <c r="B90" s="21">
        <v>74</v>
      </c>
      <c r="C90" s="33">
        <v>695.55555555555554</v>
      </c>
      <c r="D90" s="33">
        <v>1604.4375925925888</v>
      </c>
      <c r="E90" s="33">
        <v>2299.9931481481444</v>
      </c>
      <c r="F90" s="33">
        <v>198819.99999999953</v>
      </c>
      <c r="G90" s="33"/>
    </row>
    <row r="91" spans="1:7" x14ac:dyDescent="0.2">
      <c r="A91" s="46">
        <v>47571</v>
      </c>
      <c r="B91" s="21">
        <v>75</v>
      </c>
      <c r="C91" s="33">
        <v>695.55555555555554</v>
      </c>
      <c r="D91" s="33">
        <v>1598.8441666666627</v>
      </c>
      <c r="E91" s="33">
        <v>2294.3997222222183</v>
      </c>
      <c r="F91" s="33">
        <v>198124.44444444397</v>
      </c>
      <c r="G91" s="33"/>
    </row>
    <row r="92" spans="1:7" x14ac:dyDescent="0.2">
      <c r="A92" s="46">
        <v>47602</v>
      </c>
      <c r="B92" s="21">
        <v>76</v>
      </c>
      <c r="C92" s="33">
        <v>695.55555555555554</v>
      </c>
      <c r="D92" s="33">
        <v>1593.2507407407368</v>
      </c>
      <c r="E92" s="33">
        <v>2288.8062962962922</v>
      </c>
      <c r="F92" s="33">
        <v>197428.88888888841</v>
      </c>
      <c r="G92" s="33"/>
    </row>
    <row r="93" spans="1:7" x14ac:dyDescent="0.2">
      <c r="A93" s="46">
        <v>47632</v>
      </c>
      <c r="B93" s="21">
        <v>77</v>
      </c>
      <c r="C93" s="33">
        <v>695.55555555555554</v>
      </c>
      <c r="D93" s="33">
        <v>1587.6573148148109</v>
      </c>
      <c r="E93" s="33">
        <v>2283.2128703703665</v>
      </c>
      <c r="F93" s="33">
        <v>196733.33333333285</v>
      </c>
      <c r="G93" s="33"/>
    </row>
    <row r="94" spans="1:7" x14ac:dyDescent="0.2">
      <c r="A94" s="46">
        <v>47663</v>
      </c>
      <c r="B94" s="21">
        <v>78</v>
      </c>
      <c r="C94" s="33">
        <v>695.55555555555554</v>
      </c>
      <c r="D94" s="33">
        <v>1582.0638888888848</v>
      </c>
      <c r="E94" s="33">
        <v>2277.6194444444404</v>
      </c>
      <c r="F94" s="33">
        <v>196037.77777777729</v>
      </c>
      <c r="G94" s="33"/>
    </row>
    <row r="95" spans="1:7" x14ac:dyDescent="0.2">
      <c r="A95" s="46">
        <v>47693</v>
      </c>
      <c r="B95" s="21">
        <v>79</v>
      </c>
      <c r="C95" s="33">
        <v>695.55555555555554</v>
      </c>
      <c r="D95" s="33">
        <v>1576.4704629629589</v>
      </c>
      <c r="E95" s="33">
        <v>2272.0260185185143</v>
      </c>
      <c r="F95" s="33">
        <v>195342.22222222172</v>
      </c>
      <c r="G95" s="33"/>
    </row>
    <row r="96" spans="1:7" x14ac:dyDescent="0.2">
      <c r="A96" s="46">
        <v>47724</v>
      </c>
      <c r="B96" s="21">
        <v>80</v>
      </c>
      <c r="C96" s="33">
        <v>695.55555555555554</v>
      </c>
      <c r="D96" s="33">
        <v>1570.8770370370328</v>
      </c>
      <c r="E96" s="33">
        <v>2266.4325925925882</v>
      </c>
      <c r="F96" s="33">
        <v>194646.66666666616</v>
      </c>
      <c r="G96" s="33"/>
    </row>
    <row r="97" spans="1:7" x14ac:dyDescent="0.2">
      <c r="A97" s="46">
        <v>47755</v>
      </c>
      <c r="B97" s="21">
        <v>81</v>
      </c>
      <c r="C97" s="33">
        <v>695.55555555555554</v>
      </c>
      <c r="D97" s="33">
        <v>1565.2836111111069</v>
      </c>
      <c r="E97" s="33">
        <v>2260.8391666666625</v>
      </c>
      <c r="F97" s="33">
        <v>193951.1111111106</v>
      </c>
      <c r="G97" s="33"/>
    </row>
    <row r="98" spans="1:7" x14ac:dyDescent="0.2">
      <c r="A98" s="46">
        <v>47785</v>
      </c>
      <c r="B98" s="21">
        <v>82</v>
      </c>
      <c r="C98" s="33">
        <v>695.55555555555554</v>
      </c>
      <c r="D98" s="33">
        <v>1559.6901851851808</v>
      </c>
      <c r="E98" s="33">
        <v>2255.2457407407364</v>
      </c>
      <c r="F98" s="33">
        <v>193255.55555555504</v>
      </c>
      <c r="G98" s="33"/>
    </row>
    <row r="99" spans="1:7" x14ac:dyDescent="0.2">
      <c r="A99" s="46">
        <v>47816</v>
      </c>
      <c r="B99" s="21">
        <v>83</v>
      </c>
      <c r="C99" s="33">
        <v>695.55555555555554</v>
      </c>
      <c r="D99" s="33">
        <v>1554.0967592592549</v>
      </c>
      <c r="E99" s="33">
        <v>2249.6523148148103</v>
      </c>
      <c r="F99" s="33">
        <v>192559.99999999948</v>
      </c>
      <c r="G99" s="33"/>
    </row>
    <row r="100" spans="1:7" x14ac:dyDescent="0.2">
      <c r="A100" s="46">
        <v>47846</v>
      </c>
      <c r="B100" s="21">
        <v>84</v>
      </c>
      <c r="C100" s="33">
        <v>695.55555555555554</v>
      </c>
      <c r="D100" s="33">
        <v>1548.503333333329</v>
      </c>
      <c r="E100" s="33">
        <v>2244.0588888888847</v>
      </c>
      <c r="F100" s="33">
        <v>191864.44444444391</v>
      </c>
      <c r="G100" s="33"/>
    </row>
    <row r="101" spans="1:7" x14ac:dyDescent="0.2">
      <c r="A101" s="46">
        <v>47877</v>
      </c>
      <c r="B101" s="21">
        <v>85</v>
      </c>
      <c r="C101" s="33">
        <v>695.55555555555554</v>
      </c>
      <c r="D101" s="33">
        <v>1542.9099074074029</v>
      </c>
      <c r="E101" s="33">
        <v>2238.4654629629586</v>
      </c>
      <c r="F101" s="33">
        <v>191168.88888888835</v>
      </c>
      <c r="G101" s="33"/>
    </row>
    <row r="102" spans="1:7" x14ac:dyDescent="0.2">
      <c r="A102" s="46">
        <v>47908</v>
      </c>
      <c r="B102" s="21">
        <v>86</v>
      </c>
      <c r="C102" s="33">
        <v>695.55555555555554</v>
      </c>
      <c r="D102" s="33">
        <v>1537.316481481477</v>
      </c>
      <c r="E102" s="33">
        <v>2232.8720370370324</v>
      </c>
      <c r="F102" s="33">
        <v>190473.33333333279</v>
      </c>
      <c r="G102" s="33"/>
    </row>
    <row r="103" spans="1:7" x14ac:dyDescent="0.2">
      <c r="A103" s="46">
        <v>47936</v>
      </c>
      <c r="B103" s="21">
        <v>87</v>
      </c>
      <c r="C103" s="33">
        <v>695.55555555555554</v>
      </c>
      <c r="D103" s="33">
        <v>1531.7230555555509</v>
      </c>
      <c r="E103" s="33">
        <v>2227.2786111111063</v>
      </c>
      <c r="F103" s="33">
        <v>189777.77777777723</v>
      </c>
      <c r="G103" s="33"/>
    </row>
    <row r="104" spans="1:7" x14ac:dyDescent="0.2">
      <c r="A104" s="46">
        <v>47967</v>
      </c>
      <c r="B104" s="21">
        <v>88</v>
      </c>
      <c r="C104" s="33">
        <v>695.55555555555554</v>
      </c>
      <c r="D104" s="33">
        <v>1526.129629629625</v>
      </c>
      <c r="E104" s="33">
        <v>2221.6851851851807</v>
      </c>
      <c r="F104" s="33">
        <v>189082.22222222167</v>
      </c>
      <c r="G104" s="33"/>
    </row>
    <row r="105" spans="1:7" x14ac:dyDescent="0.2">
      <c r="A105" s="46">
        <v>47997</v>
      </c>
      <c r="B105" s="21">
        <v>89</v>
      </c>
      <c r="C105" s="33">
        <v>695.55555555555554</v>
      </c>
      <c r="D105" s="33">
        <v>1520.5362037036991</v>
      </c>
      <c r="E105" s="33">
        <v>2216.0917592592546</v>
      </c>
      <c r="F105" s="33">
        <v>188386.6666666661</v>
      </c>
      <c r="G105" s="33"/>
    </row>
    <row r="106" spans="1:7" x14ac:dyDescent="0.2">
      <c r="A106" s="46">
        <v>48028</v>
      </c>
      <c r="B106" s="21">
        <v>90</v>
      </c>
      <c r="C106" s="33">
        <v>695.55555555555554</v>
      </c>
      <c r="D106" s="33">
        <v>1514.942777777773</v>
      </c>
      <c r="E106" s="33">
        <v>2210.4983333333284</v>
      </c>
      <c r="F106" s="33">
        <v>187691.11111111054</v>
      </c>
      <c r="G106" s="33"/>
    </row>
    <row r="107" spans="1:7" x14ac:dyDescent="0.2">
      <c r="A107" s="46">
        <v>48058</v>
      </c>
      <c r="B107" s="21">
        <v>91</v>
      </c>
      <c r="C107" s="33">
        <v>695.55555555555554</v>
      </c>
      <c r="D107" s="33">
        <v>1509.3493518518471</v>
      </c>
      <c r="E107" s="33">
        <v>2204.9049074074028</v>
      </c>
      <c r="F107" s="33">
        <v>186995.55555555498</v>
      </c>
      <c r="G107" s="33"/>
    </row>
    <row r="108" spans="1:7" x14ac:dyDescent="0.2">
      <c r="A108" s="46">
        <v>48089</v>
      </c>
      <c r="B108" s="21">
        <v>92</v>
      </c>
      <c r="C108" s="33">
        <v>695.55555555555554</v>
      </c>
      <c r="D108" s="33">
        <v>1503.755925925921</v>
      </c>
      <c r="E108" s="33">
        <v>2199.3114814814767</v>
      </c>
      <c r="F108" s="33">
        <v>186299.99999999942</v>
      </c>
      <c r="G108" s="33"/>
    </row>
    <row r="109" spans="1:7" x14ac:dyDescent="0.2">
      <c r="A109" s="46">
        <v>48120</v>
      </c>
      <c r="B109" s="21">
        <v>93</v>
      </c>
      <c r="C109" s="33">
        <v>695.55555555555554</v>
      </c>
      <c r="D109" s="33">
        <v>1498.1624999999951</v>
      </c>
      <c r="E109" s="33">
        <v>2193.7180555555506</v>
      </c>
      <c r="F109" s="33">
        <v>185604.44444444386</v>
      </c>
      <c r="G109" s="33"/>
    </row>
    <row r="110" spans="1:7" x14ac:dyDescent="0.2">
      <c r="A110" s="46">
        <v>48150</v>
      </c>
      <c r="B110" s="21">
        <v>94</v>
      </c>
      <c r="C110" s="33">
        <v>695.55555555555554</v>
      </c>
      <c r="D110" s="33">
        <v>1492.5690740740692</v>
      </c>
      <c r="E110" s="33">
        <v>2188.1246296296249</v>
      </c>
      <c r="F110" s="33">
        <v>184908.88888888829</v>
      </c>
      <c r="G110" s="33"/>
    </row>
    <row r="111" spans="1:7" x14ac:dyDescent="0.2">
      <c r="A111" s="46">
        <v>48181</v>
      </c>
      <c r="B111" s="21">
        <v>95</v>
      </c>
      <c r="C111" s="33">
        <v>695.55555555555554</v>
      </c>
      <c r="D111" s="33">
        <v>1486.9756481481431</v>
      </c>
      <c r="E111" s="33">
        <v>2182.5312037036988</v>
      </c>
      <c r="F111" s="33">
        <v>184213.33333333273</v>
      </c>
      <c r="G111" s="33"/>
    </row>
    <row r="112" spans="1:7" x14ac:dyDescent="0.2">
      <c r="A112" s="46">
        <v>48211</v>
      </c>
      <c r="B112" s="21">
        <v>96</v>
      </c>
      <c r="C112" s="33">
        <v>695.55555555555554</v>
      </c>
      <c r="D112" s="33">
        <v>1481.3822222222173</v>
      </c>
      <c r="E112" s="33">
        <v>2176.9377777777727</v>
      </c>
      <c r="F112" s="33">
        <v>183517.77777777717</v>
      </c>
      <c r="G112" s="33"/>
    </row>
    <row r="113" spans="1:7" x14ac:dyDescent="0.2">
      <c r="A113" s="46">
        <v>48242</v>
      </c>
      <c r="B113" s="21">
        <v>97</v>
      </c>
      <c r="C113" s="33">
        <v>695.55555555555554</v>
      </c>
      <c r="D113" s="33">
        <v>1475.7887962962911</v>
      </c>
      <c r="E113" s="33">
        <v>2171.3443518518466</v>
      </c>
      <c r="F113" s="33">
        <v>182822.22222222161</v>
      </c>
      <c r="G113" s="33"/>
    </row>
    <row r="114" spans="1:7" x14ac:dyDescent="0.2">
      <c r="A114" s="46">
        <v>48273</v>
      </c>
      <c r="B114" s="21">
        <v>98</v>
      </c>
      <c r="C114" s="33">
        <v>695.55555555555554</v>
      </c>
      <c r="D114" s="33">
        <v>1470.1953703703653</v>
      </c>
      <c r="E114" s="33">
        <v>2165.7509259259209</v>
      </c>
      <c r="F114" s="33">
        <v>182126.66666666605</v>
      </c>
      <c r="G114" s="33"/>
    </row>
    <row r="115" spans="1:7" x14ac:dyDescent="0.2">
      <c r="A115" s="46">
        <v>48302</v>
      </c>
      <c r="B115" s="21">
        <v>99</v>
      </c>
      <c r="C115" s="33">
        <v>695.55555555555554</v>
      </c>
      <c r="D115" s="33">
        <v>1464.6019444444394</v>
      </c>
      <c r="E115" s="33">
        <v>2160.1574999999948</v>
      </c>
      <c r="F115" s="33">
        <v>181431.11111111048</v>
      </c>
      <c r="G115" s="33"/>
    </row>
    <row r="116" spans="1:7" x14ac:dyDescent="0.2">
      <c r="A116" s="46">
        <v>48333</v>
      </c>
      <c r="B116" s="21">
        <v>100</v>
      </c>
      <c r="C116" s="33">
        <v>695.55555555555554</v>
      </c>
      <c r="D116" s="33">
        <v>1459.0085185185133</v>
      </c>
      <c r="E116" s="33">
        <v>2154.5640740740687</v>
      </c>
      <c r="F116" s="33">
        <v>180735.55555555492</v>
      </c>
      <c r="G116" s="33"/>
    </row>
    <row r="117" spans="1:7" x14ac:dyDescent="0.2">
      <c r="A117" s="46">
        <v>48363</v>
      </c>
      <c r="B117" s="21">
        <v>101</v>
      </c>
      <c r="C117" s="33">
        <v>695.55555555555554</v>
      </c>
      <c r="D117" s="33">
        <v>1453.4150925925874</v>
      </c>
      <c r="E117" s="33">
        <v>2148.970648148143</v>
      </c>
      <c r="F117" s="33">
        <v>180039.99999999936</v>
      </c>
      <c r="G117" s="33"/>
    </row>
    <row r="118" spans="1:7" x14ac:dyDescent="0.2">
      <c r="A118" s="46">
        <v>48394</v>
      </c>
      <c r="B118" s="21">
        <v>102</v>
      </c>
      <c r="C118" s="33">
        <v>695.55555555555554</v>
      </c>
      <c r="D118" s="33">
        <v>1447.8216666666613</v>
      </c>
      <c r="E118" s="33">
        <v>2143.3772222222169</v>
      </c>
      <c r="F118" s="33">
        <v>179344.4444444438</v>
      </c>
      <c r="G118" s="33"/>
    </row>
    <row r="119" spans="1:7" x14ac:dyDescent="0.2">
      <c r="A119" s="46">
        <v>48424</v>
      </c>
      <c r="B119" s="21">
        <v>103</v>
      </c>
      <c r="C119" s="33">
        <v>695.55555555555554</v>
      </c>
      <c r="D119" s="33">
        <v>1442.2282407407354</v>
      </c>
      <c r="E119" s="33">
        <v>2137.7837962962908</v>
      </c>
      <c r="F119" s="33">
        <v>178648.88888888824</v>
      </c>
      <c r="G119" s="33"/>
    </row>
    <row r="120" spans="1:7" x14ac:dyDescent="0.2">
      <c r="A120" s="46">
        <v>48455</v>
      </c>
      <c r="B120" s="21">
        <v>104</v>
      </c>
      <c r="C120" s="33">
        <v>695.55555555555554</v>
      </c>
      <c r="D120" s="33">
        <v>1436.6348148148095</v>
      </c>
      <c r="E120" s="33">
        <v>2132.1903703703651</v>
      </c>
      <c r="F120" s="33">
        <v>177953.33333333267</v>
      </c>
      <c r="G120" s="33"/>
    </row>
    <row r="121" spans="1:7" x14ac:dyDescent="0.2">
      <c r="A121" s="46">
        <v>48486</v>
      </c>
      <c r="B121" s="21">
        <v>105</v>
      </c>
      <c r="C121" s="33">
        <v>695.55555555555554</v>
      </c>
      <c r="D121" s="33">
        <v>1431.0413888888834</v>
      </c>
      <c r="E121" s="33">
        <v>2126.596944444439</v>
      </c>
      <c r="F121" s="33">
        <v>177257.77777777711</v>
      </c>
      <c r="G121" s="33"/>
    </row>
    <row r="122" spans="1:7" x14ac:dyDescent="0.2">
      <c r="A122" s="46">
        <v>48516</v>
      </c>
      <c r="B122" s="21">
        <v>106</v>
      </c>
      <c r="C122" s="33">
        <v>695.55555555555554</v>
      </c>
      <c r="D122" s="33">
        <v>1425.4479629629575</v>
      </c>
      <c r="E122" s="33">
        <v>2121.0035185185129</v>
      </c>
      <c r="F122" s="33">
        <v>176562.22222222155</v>
      </c>
      <c r="G122" s="33"/>
    </row>
    <row r="123" spans="1:7" x14ac:dyDescent="0.2">
      <c r="A123" s="46">
        <v>48547</v>
      </c>
      <c r="B123" s="21">
        <v>107</v>
      </c>
      <c r="C123" s="33">
        <v>695.55555555555554</v>
      </c>
      <c r="D123" s="33">
        <v>1419.8545370370314</v>
      </c>
      <c r="E123" s="33">
        <v>2115.4100925925868</v>
      </c>
      <c r="F123" s="33">
        <v>175866.66666666599</v>
      </c>
      <c r="G123" s="33"/>
    </row>
    <row r="124" spans="1:7" x14ac:dyDescent="0.2">
      <c r="A124" s="46">
        <v>48577</v>
      </c>
      <c r="B124" s="21">
        <v>108</v>
      </c>
      <c r="C124" s="33">
        <v>695.55555555555554</v>
      </c>
      <c r="D124" s="33">
        <v>1414.2611111111055</v>
      </c>
      <c r="E124" s="33">
        <v>2109.8166666666611</v>
      </c>
      <c r="F124" s="33">
        <v>175171.11111111043</v>
      </c>
      <c r="G124" s="33"/>
    </row>
    <row r="125" spans="1:7" x14ac:dyDescent="0.2">
      <c r="A125" s="46">
        <v>48608</v>
      </c>
      <c r="B125" s="21">
        <v>109</v>
      </c>
      <c r="C125" s="33">
        <v>695.55555555555554</v>
      </c>
      <c r="D125" s="33">
        <v>1408.6676851851796</v>
      </c>
      <c r="E125" s="33">
        <v>2104.223240740735</v>
      </c>
      <c r="F125" s="33">
        <v>174475.55555555486</v>
      </c>
      <c r="G125" s="33"/>
    </row>
    <row r="126" spans="1:7" x14ac:dyDescent="0.2">
      <c r="A126" s="46">
        <v>48639</v>
      </c>
      <c r="B126" s="21">
        <v>110</v>
      </c>
      <c r="C126" s="33">
        <v>695.55555555555554</v>
      </c>
      <c r="D126" s="33">
        <v>1403.0742592592535</v>
      </c>
      <c r="E126" s="33">
        <v>2098.6298148148089</v>
      </c>
      <c r="F126" s="33">
        <v>173779.9999999993</v>
      </c>
      <c r="G126" s="33"/>
    </row>
    <row r="127" spans="1:7" x14ac:dyDescent="0.2">
      <c r="A127" s="46">
        <v>48667</v>
      </c>
      <c r="B127" s="21">
        <v>111</v>
      </c>
      <c r="C127" s="33">
        <v>695.55555555555554</v>
      </c>
      <c r="D127" s="33">
        <v>1397.4808333333276</v>
      </c>
      <c r="E127" s="33">
        <v>2093.0363888888833</v>
      </c>
      <c r="F127" s="33">
        <v>173084.44444444374</v>
      </c>
      <c r="G127" s="33"/>
    </row>
    <row r="128" spans="1:7" x14ac:dyDescent="0.2">
      <c r="A128" s="46">
        <v>48698</v>
      </c>
      <c r="B128" s="21">
        <v>112</v>
      </c>
      <c r="C128" s="33">
        <v>695.55555555555554</v>
      </c>
      <c r="D128" s="33">
        <v>1391.8874074074015</v>
      </c>
      <c r="E128" s="33">
        <v>2087.4429629629572</v>
      </c>
      <c r="F128" s="33">
        <v>172388.88888888818</v>
      </c>
      <c r="G128" s="33"/>
    </row>
    <row r="129" spans="1:7" x14ac:dyDescent="0.2">
      <c r="A129" s="46">
        <v>48728</v>
      </c>
      <c r="B129" s="21">
        <v>113</v>
      </c>
      <c r="C129" s="33">
        <v>695.55555555555554</v>
      </c>
      <c r="D129" s="33">
        <v>1386.2939814814756</v>
      </c>
      <c r="E129" s="33">
        <v>2081.849537037031</v>
      </c>
      <c r="F129" s="33">
        <v>171693.33333333262</v>
      </c>
      <c r="G129" s="33"/>
    </row>
    <row r="130" spans="1:7" x14ac:dyDescent="0.2">
      <c r="A130" s="46">
        <v>48759</v>
      </c>
      <c r="B130" s="21">
        <v>114</v>
      </c>
      <c r="C130" s="33">
        <v>695.55555555555554</v>
      </c>
      <c r="D130" s="33">
        <v>1380.7005555555497</v>
      </c>
      <c r="E130" s="33">
        <v>2076.2561111111054</v>
      </c>
      <c r="F130" s="33">
        <v>170997.77777777705</v>
      </c>
      <c r="G130" s="33"/>
    </row>
    <row r="131" spans="1:7" x14ac:dyDescent="0.2">
      <c r="A131" s="46">
        <v>48789</v>
      </c>
      <c r="B131" s="21">
        <v>115</v>
      </c>
      <c r="C131" s="33">
        <v>695.55555555555554</v>
      </c>
      <c r="D131" s="33">
        <v>1375.1071296296236</v>
      </c>
      <c r="E131" s="33">
        <v>2070.6626851851793</v>
      </c>
      <c r="F131" s="33">
        <v>170302.22222222149</v>
      </c>
      <c r="G131" s="33"/>
    </row>
    <row r="132" spans="1:7" x14ac:dyDescent="0.2">
      <c r="A132" s="46">
        <v>48820</v>
      </c>
      <c r="B132" s="21">
        <v>116</v>
      </c>
      <c r="C132" s="33">
        <v>695.55555555555554</v>
      </c>
      <c r="D132" s="33">
        <v>1369.5137037036977</v>
      </c>
      <c r="E132" s="33">
        <v>2065.0692592592532</v>
      </c>
      <c r="F132" s="33">
        <v>169606.66666666593</v>
      </c>
      <c r="G132" s="33"/>
    </row>
    <row r="133" spans="1:7" x14ac:dyDescent="0.2">
      <c r="A133" s="46">
        <v>48851</v>
      </c>
      <c r="B133" s="21">
        <v>117</v>
      </c>
      <c r="C133" s="33">
        <v>695.55555555555554</v>
      </c>
      <c r="D133" s="33">
        <v>1363.9202777777716</v>
      </c>
      <c r="E133" s="33">
        <v>2059.475833333327</v>
      </c>
      <c r="F133" s="33">
        <v>168911.11111111037</v>
      </c>
      <c r="G133" s="33"/>
    </row>
    <row r="134" spans="1:7" x14ac:dyDescent="0.2">
      <c r="A134" s="46">
        <v>48881</v>
      </c>
      <c r="B134" s="21">
        <v>118</v>
      </c>
      <c r="C134" s="33">
        <v>695.55555555555554</v>
      </c>
      <c r="D134" s="33">
        <v>1358.3268518518457</v>
      </c>
      <c r="E134" s="33">
        <v>2053.8824074074014</v>
      </c>
      <c r="F134" s="33">
        <v>168215.55555555481</v>
      </c>
      <c r="G134" s="33"/>
    </row>
    <row r="135" spans="1:7" x14ac:dyDescent="0.2">
      <c r="A135" s="46">
        <v>48912</v>
      </c>
      <c r="B135" s="21">
        <v>119</v>
      </c>
      <c r="C135" s="33">
        <v>695.55555555555554</v>
      </c>
      <c r="D135" s="33">
        <v>1352.7334259259198</v>
      </c>
      <c r="E135" s="33">
        <v>2048.2889814814753</v>
      </c>
      <c r="F135" s="33">
        <v>167519.99999999924</v>
      </c>
      <c r="G135" s="33"/>
    </row>
    <row r="136" spans="1:7" x14ac:dyDescent="0.2">
      <c r="A136" s="46">
        <v>48942</v>
      </c>
      <c r="B136" s="21">
        <v>120</v>
      </c>
      <c r="C136" s="33">
        <v>695.55555555555554</v>
      </c>
      <c r="D136" s="33">
        <v>1347.1399999999937</v>
      </c>
      <c r="E136" s="33">
        <v>2042.6955555555492</v>
      </c>
      <c r="F136" s="33">
        <v>166824.44444444368</v>
      </c>
      <c r="G136" s="33"/>
    </row>
    <row r="137" spans="1:7" x14ac:dyDescent="0.2">
      <c r="A137" s="46">
        <v>48973</v>
      </c>
      <c r="B137" s="21">
        <v>121</v>
      </c>
      <c r="C137" s="33">
        <v>695.55555555555554</v>
      </c>
      <c r="D137" s="33">
        <v>1341.5465740740678</v>
      </c>
      <c r="E137" s="33">
        <v>2037.1021296296235</v>
      </c>
      <c r="F137" s="33">
        <v>166128.88888888812</v>
      </c>
      <c r="G137" s="33"/>
    </row>
    <row r="138" spans="1:7" x14ac:dyDescent="0.2">
      <c r="A138" s="46">
        <v>49004</v>
      </c>
      <c r="B138" s="21">
        <v>122</v>
      </c>
      <c r="C138" s="33">
        <v>695.55555555555554</v>
      </c>
      <c r="D138" s="33">
        <v>1335.9531481481417</v>
      </c>
      <c r="E138" s="33">
        <v>2031.5087037036974</v>
      </c>
      <c r="F138" s="33">
        <v>165433.33333333256</v>
      </c>
      <c r="G138" s="33"/>
    </row>
    <row r="139" spans="1:7" x14ac:dyDescent="0.2">
      <c r="A139" s="46">
        <v>49032</v>
      </c>
      <c r="B139" s="21">
        <v>123</v>
      </c>
      <c r="C139" s="33">
        <v>695.55555555555554</v>
      </c>
      <c r="D139" s="33">
        <v>1330.3597222222159</v>
      </c>
      <c r="E139" s="33">
        <v>2025.9152777777713</v>
      </c>
      <c r="F139" s="33">
        <v>164737.777777777</v>
      </c>
      <c r="G139" s="33"/>
    </row>
    <row r="140" spans="1:7" x14ac:dyDescent="0.2">
      <c r="A140" s="46">
        <v>49063</v>
      </c>
      <c r="B140" s="21">
        <v>124</v>
      </c>
      <c r="C140" s="33">
        <v>695.55555555555554</v>
      </c>
      <c r="D140" s="33">
        <v>1324.7662962962897</v>
      </c>
      <c r="E140" s="33">
        <v>2020.3218518518452</v>
      </c>
      <c r="F140" s="33">
        <v>164042.22222222143</v>
      </c>
      <c r="G140" s="33"/>
    </row>
    <row r="141" spans="1:7" x14ac:dyDescent="0.2">
      <c r="A141" s="46">
        <v>49093</v>
      </c>
      <c r="B141" s="21">
        <v>125</v>
      </c>
      <c r="C141" s="33">
        <v>695.55555555555554</v>
      </c>
      <c r="D141" s="33">
        <v>1319.1728703703639</v>
      </c>
      <c r="E141" s="33">
        <v>2014.7284259259195</v>
      </c>
      <c r="F141" s="33">
        <v>163346.66666666587</v>
      </c>
      <c r="G141" s="33"/>
    </row>
    <row r="142" spans="1:7" x14ac:dyDescent="0.2">
      <c r="A142" s="46">
        <v>49124</v>
      </c>
      <c r="B142" s="21">
        <v>126</v>
      </c>
      <c r="C142" s="33">
        <v>695.55555555555554</v>
      </c>
      <c r="D142" s="33">
        <v>1313.579444444438</v>
      </c>
      <c r="E142" s="33">
        <v>2009.1349999999934</v>
      </c>
      <c r="F142" s="33">
        <v>162651.11111111031</v>
      </c>
      <c r="G142" s="33"/>
    </row>
    <row r="143" spans="1:7" x14ac:dyDescent="0.2">
      <c r="A143" s="46">
        <v>49154</v>
      </c>
      <c r="B143" s="21">
        <v>127</v>
      </c>
      <c r="C143" s="33">
        <v>695.55555555555554</v>
      </c>
      <c r="D143" s="33">
        <v>1307.9860185185119</v>
      </c>
      <c r="E143" s="33">
        <v>2003.5415740740673</v>
      </c>
      <c r="F143" s="33">
        <v>161955.55555555475</v>
      </c>
      <c r="G143" s="33"/>
    </row>
    <row r="144" spans="1:7" x14ac:dyDescent="0.2">
      <c r="A144" s="46">
        <v>49185</v>
      </c>
      <c r="B144" s="21">
        <v>128</v>
      </c>
      <c r="C144" s="33">
        <v>695.55555555555554</v>
      </c>
      <c r="D144" s="33">
        <v>1302.392592592586</v>
      </c>
      <c r="E144" s="33">
        <v>1997.9481481481416</v>
      </c>
      <c r="F144" s="33">
        <v>161259.99999999919</v>
      </c>
      <c r="G144" s="33"/>
    </row>
    <row r="145" spans="1:7" x14ac:dyDescent="0.2">
      <c r="A145" s="46">
        <v>49216</v>
      </c>
      <c r="B145" s="21">
        <v>129</v>
      </c>
      <c r="C145" s="33">
        <v>695.55555555555554</v>
      </c>
      <c r="D145" s="33">
        <v>1296.7991666666599</v>
      </c>
      <c r="E145" s="33">
        <v>1992.3547222222155</v>
      </c>
      <c r="F145" s="33">
        <v>160564.44444444362</v>
      </c>
      <c r="G145" s="33"/>
    </row>
    <row r="146" spans="1:7" x14ac:dyDescent="0.2">
      <c r="A146" s="46">
        <v>49246</v>
      </c>
      <c r="B146" s="21">
        <v>130</v>
      </c>
      <c r="C146" s="33">
        <v>695.55555555555554</v>
      </c>
      <c r="D146" s="33">
        <v>1291.205740740734</v>
      </c>
      <c r="E146" s="33">
        <v>1986.7612962962894</v>
      </c>
      <c r="F146" s="33">
        <v>159868.88888888806</v>
      </c>
      <c r="G146" s="33"/>
    </row>
    <row r="147" spans="1:7" x14ac:dyDescent="0.2">
      <c r="A147" s="46">
        <v>49277</v>
      </c>
      <c r="B147" s="21">
        <v>131</v>
      </c>
      <c r="C147" s="33">
        <v>695.55555555555554</v>
      </c>
      <c r="D147" s="33">
        <v>1285.6123148148081</v>
      </c>
      <c r="E147" s="33">
        <v>1981.1678703703637</v>
      </c>
      <c r="F147" s="33">
        <v>159173.3333333325</v>
      </c>
      <c r="G147" s="33"/>
    </row>
    <row r="148" spans="1:7" x14ac:dyDescent="0.2">
      <c r="A148" s="46">
        <v>49307</v>
      </c>
      <c r="B148" s="21">
        <v>132</v>
      </c>
      <c r="C148" s="33">
        <v>695.55555555555554</v>
      </c>
      <c r="D148" s="33">
        <v>1280.018888888882</v>
      </c>
      <c r="E148" s="33">
        <v>1975.5744444444376</v>
      </c>
      <c r="F148" s="33">
        <v>158477.77777777694</v>
      </c>
      <c r="G148" s="33"/>
    </row>
    <row r="149" spans="1:7" x14ac:dyDescent="0.2">
      <c r="A149" s="46">
        <v>49338</v>
      </c>
      <c r="B149" s="21">
        <v>133</v>
      </c>
      <c r="C149" s="33">
        <v>695.55555555555554</v>
      </c>
      <c r="D149" s="33">
        <v>1274.4254629629561</v>
      </c>
      <c r="E149" s="33">
        <v>1969.9810185185115</v>
      </c>
      <c r="F149" s="33">
        <v>157782.22222222137</v>
      </c>
      <c r="G149" s="33"/>
    </row>
    <row r="150" spans="1:7" x14ac:dyDescent="0.2">
      <c r="A150" s="46">
        <v>49369</v>
      </c>
      <c r="B150" s="21">
        <v>134</v>
      </c>
      <c r="C150" s="33">
        <v>695.55555555555554</v>
      </c>
      <c r="D150" s="33">
        <v>1268.83203703703</v>
      </c>
      <c r="E150" s="33">
        <v>1964.3875925925854</v>
      </c>
      <c r="F150" s="33">
        <v>157086.66666666581</v>
      </c>
      <c r="G150" s="33"/>
    </row>
    <row r="151" spans="1:7" x14ac:dyDescent="0.2">
      <c r="A151" s="46">
        <v>49397</v>
      </c>
      <c r="B151" s="21">
        <v>135</v>
      </c>
      <c r="C151" s="33">
        <v>695.55555555555554</v>
      </c>
      <c r="D151" s="33">
        <v>1263.2386111111041</v>
      </c>
      <c r="E151" s="33">
        <v>1958.7941666666597</v>
      </c>
      <c r="F151" s="33">
        <v>156391.11111111025</v>
      </c>
      <c r="G151" s="33"/>
    </row>
    <row r="152" spans="1:7" x14ac:dyDescent="0.2">
      <c r="A152" s="46">
        <v>49428</v>
      </c>
      <c r="B152" s="21">
        <v>136</v>
      </c>
      <c r="C152" s="33">
        <v>695.55555555555554</v>
      </c>
      <c r="D152" s="33">
        <v>1257.6451851851782</v>
      </c>
      <c r="E152" s="33">
        <v>1953.2007407407336</v>
      </c>
      <c r="F152" s="33">
        <v>155695.55555555469</v>
      </c>
      <c r="G152" s="33"/>
    </row>
    <row r="153" spans="1:7" x14ac:dyDescent="0.2">
      <c r="A153" s="46">
        <v>49458</v>
      </c>
      <c r="B153" s="21">
        <v>137</v>
      </c>
      <c r="C153" s="33">
        <v>695.55555555555554</v>
      </c>
      <c r="D153" s="33">
        <v>1252.0517592592521</v>
      </c>
      <c r="E153" s="33">
        <v>1947.6073148148075</v>
      </c>
      <c r="F153" s="33">
        <v>154999.99999999913</v>
      </c>
      <c r="G153" s="33"/>
    </row>
    <row r="154" spans="1:7" x14ac:dyDescent="0.2">
      <c r="A154" s="46">
        <v>49489</v>
      </c>
      <c r="B154" s="21">
        <v>138</v>
      </c>
      <c r="C154" s="33">
        <v>695.55555555555554</v>
      </c>
      <c r="D154" s="33">
        <v>1246.4583333333262</v>
      </c>
      <c r="E154" s="33">
        <v>1942.0138888888819</v>
      </c>
      <c r="F154" s="33">
        <v>154304.44444444356</v>
      </c>
      <c r="G154" s="33"/>
    </row>
    <row r="155" spans="1:7" x14ac:dyDescent="0.2">
      <c r="A155" s="46">
        <v>49519</v>
      </c>
      <c r="B155" s="21">
        <v>139</v>
      </c>
      <c r="C155" s="33">
        <v>695.55555555555554</v>
      </c>
      <c r="D155" s="33">
        <v>1240.8649074074001</v>
      </c>
      <c r="E155" s="33">
        <v>1936.4204629629558</v>
      </c>
      <c r="F155" s="33">
        <v>153608.888888888</v>
      </c>
      <c r="G155" s="33"/>
    </row>
    <row r="156" spans="1:7" x14ac:dyDescent="0.2">
      <c r="A156" s="46">
        <v>49550</v>
      </c>
      <c r="B156" s="21">
        <v>140</v>
      </c>
      <c r="C156" s="33">
        <v>695.55555555555554</v>
      </c>
      <c r="D156" s="33">
        <v>1235.2714814814742</v>
      </c>
      <c r="E156" s="33">
        <v>1930.8270370370296</v>
      </c>
      <c r="F156" s="33">
        <v>152913.33333333244</v>
      </c>
      <c r="G156" s="33"/>
    </row>
    <row r="157" spans="1:7" x14ac:dyDescent="0.2">
      <c r="A157" s="46">
        <v>49581</v>
      </c>
      <c r="B157" s="21">
        <v>141</v>
      </c>
      <c r="C157" s="33">
        <v>695.55555555555554</v>
      </c>
      <c r="D157" s="33">
        <v>1229.6780555555483</v>
      </c>
      <c r="E157" s="33">
        <v>1925.233611111104</v>
      </c>
      <c r="F157" s="33">
        <v>152217.77777777688</v>
      </c>
      <c r="G157" s="33"/>
    </row>
    <row r="158" spans="1:7" x14ac:dyDescent="0.2">
      <c r="A158" s="46">
        <v>49611</v>
      </c>
      <c r="B158" s="21">
        <v>142</v>
      </c>
      <c r="C158" s="33">
        <v>695.55555555555554</v>
      </c>
      <c r="D158" s="33">
        <v>1224.0846296296222</v>
      </c>
      <c r="E158" s="33">
        <v>1919.6401851851779</v>
      </c>
      <c r="F158" s="33">
        <v>151522.22222222132</v>
      </c>
      <c r="G158" s="33"/>
    </row>
    <row r="159" spans="1:7" x14ac:dyDescent="0.2">
      <c r="A159" s="46">
        <v>49642</v>
      </c>
      <c r="B159" s="21">
        <v>143</v>
      </c>
      <c r="C159" s="33">
        <v>695.55555555555554</v>
      </c>
      <c r="D159" s="33">
        <v>1218.4912037036963</v>
      </c>
      <c r="E159" s="33">
        <v>1914.0467592592518</v>
      </c>
      <c r="F159" s="33">
        <v>150826.66666666575</v>
      </c>
      <c r="G159" s="33"/>
    </row>
    <row r="160" spans="1:7" x14ac:dyDescent="0.2">
      <c r="A160" s="46">
        <v>49672</v>
      </c>
      <c r="B160" s="21">
        <v>144</v>
      </c>
      <c r="C160" s="33">
        <v>695.55555555555554</v>
      </c>
      <c r="D160" s="33">
        <v>1212.8977777777702</v>
      </c>
      <c r="E160" s="33">
        <v>1908.4533333333256</v>
      </c>
      <c r="F160" s="33">
        <v>150131.11111111019</v>
      </c>
      <c r="G160" s="33"/>
    </row>
    <row r="161" spans="1:7" x14ac:dyDescent="0.2">
      <c r="A161" s="46">
        <v>49703</v>
      </c>
      <c r="B161" s="21">
        <v>145</v>
      </c>
      <c r="C161" s="33">
        <v>695.55555555555554</v>
      </c>
      <c r="D161" s="33">
        <v>1207.3043518518443</v>
      </c>
      <c r="E161" s="33">
        <v>1902.8599074074</v>
      </c>
      <c r="F161" s="33">
        <v>149435.55555555463</v>
      </c>
      <c r="G161" s="33"/>
    </row>
    <row r="162" spans="1:7" x14ac:dyDescent="0.2">
      <c r="A162" s="46">
        <v>49734</v>
      </c>
      <c r="B162" s="21">
        <v>146</v>
      </c>
      <c r="C162" s="33">
        <v>695.55555555555554</v>
      </c>
      <c r="D162" s="33">
        <v>1201.7109259259184</v>
      </c>
      <c r="E162" s="33">
        <v>1897.2664814814739</v>
      </c>
      <c r="F162" s="33">
        <v>148739.99999999907</v>
      </c>
      <c r="G162" s="33"/>
    </row>
    <row r="163" spans="1:7" x14ac:dyDescent="0.2">
      <c r="A163" s="46">
        <v>49763</v>
      </c>
      <c r="B163" s="21">
        <v>147</v>
      </c>
      <c r="C163" s="33">
        <v>695.55555555555554</v>
      </c>
      <c r="D163" s="33">
        <v>1196.1174999999923</v>
      </c>
      <c r="E163" s="33">
        <v>1891.6730555555478</v>
      </c>
      <c r="F163" s="33">
        <v>148044.44444444351</v>
      </c>
      <c r="G163" s="33"/>
    </row>
    <row r="164" spans="1:7" x14ac:dyDescent="0.2">
      <c r="A164" s="46">
        <v>49794</v>
      </c>
      <c r="B164" s="21">
        <v>148</v>
      </c>
      <c r="C164" s="33">
        <v>695.55555555555554</v>
      </c>
      <c r="D164" s="33">
        <v>1190.5240740740664</v>
      </c>
      <c r="E164" s="33">
        <v>1886.0796296296221</v>
      </c>
      <c r="F164" s="33">
        <v>147348.88888888794</v>
      </c>
      <c r="G164" s="33"/>
    </row>
    <row r="165" spans="1:7" x14ac:dyDescent="0.2">
      <c r="A165" s="46">
        <v>49824</v>
      </c>
      <c r="B165" s="21">
        <v>149</v>
      </c>
      <c r="C165" s="33">
        <v>695.55555555555554</v>
      </c>
      <c r="D165" s="33">
        <v>1184.9306481481403</v>
      </c>
      <c r="E165" s="33">
        <v>1880.486203703696</v>
      </c>
      <c r="F165" s="33">
        <v>146653.33333333238</v>
      </c>
      <c r="G165" s="33"/>
    </row>
    <row r="166" spans="1:7" x14ac:dyDescent="0.2">
      <c r="A166" s="46">
        <v>49855</v>
      </c>
      <c r="B166" s="21">
        <v>150</v>
      </c>
      <c r="C166" s="33">
        <v>695.55555555555554</v>
      </c>
      <c r="D166" s="33">
        <v>1179.3372222222145</v>
      </c>
      <c r="E166" s="33">
        <v>1874.8927777777699</v>
      </c>
      <c r="F166" s="33">
        <v>145957.77777777682</v>
      </c>
      <c r="G166" s="33"/>
    </row>
    <row r="167" spans="1:7" x14ac:dyDescent="0.2">
      <c r="A167" s="46">
        <v>49885</v>
      </c>
      <c r="B167" s="21">
        <v>151</v>
      </c>
      <c r="C167" s="33">
        <v>695.55555555555554</v>
      </c>
      <c r="D167" s="33">
        <v>1173.7437962962886</v>
      </c>
      <c r="E167" s="33">
        <v>1869.2993518518442</v>
      </c>
      <c r="F167" s="33">
        <v>145262.22222222126</v>
      </c>
      <c r="G167" s="33"/>
    </row>
    <row r="168" spans="1:7" x14ac:dyDescent="0.2">
      <c r="A168" s="46">
        <v>49916</v>
      </c>
      <c r="B168" s="21">
        <v>152</v>
      </c>
      <c r="C168" s="33">
        <v>695.55555555555554</v>
      </c>
      <c r="D168" s="33">
        <v>1168.1503703703625</v>
      </c>
      <c r="E168" s="33">
        <v>1863.7059259259181</v>
      </c>
      <c r="F168" s="33">
        <v>144566.6666666657</v>
      </c>
      <c r="G168" s="33"/>
    </row>
    <row r="169" spans="1:7" x14ac:dyDescent="0.2">
      <c r="A169" s="46">
        <v>49947</v>
      </c>
      <c r="B169" s="21">
        <v>153</v>
      </c>
      <c r="C169" s="33">
        <v>695.55555555555554</v>
      </c>
      <c r="D169" s="33">
        <v>1162.5569444444366</v>
      </c>
      <c r="E169" s="33">
        <v>1858.112499999992</v>
      </c>
      <c r="F169" s="33">
        <v>143871.11111111013</v>
      </c>
      <c r="G169" s="33"/>
    </row>
    <row r="170" spans="1:7" x14ac:dyDescent="0.2">
      <c r="A170" s="46">
        <v>49977</v>
      </c>
      <c r="B170" s="21">
        <v>154</v>
      </c>
      <c r="C170" s="33">
        <v>695.55555555555554</v>
      </c>
      <c r="D170" s="33">
        <v>1156.9635185185105</v>
      </c>
      <c r="E170" s="33">
        <v>1852.5190740740659</v>
      </c>
      <c r="F170" s="33">
        <v>143175.55555555457</v>
      </c>
      <c r="G170" s="33"/>
    </row>
    <row r="171" spans="1:7" x14ac:dyDescent="0.2">
      <c r="A171" s="46">
        <v>50008</v>
      </c>
      <c r="B171" s="21">
        <v>155</v>
      </c>
      <c r="C171" s="33">
        <v>695.55555555555554</v>
      </c>
      <c r="D171" s="33">
        <v>1151.3700925925846</v>
      </c>
      <c r="E171" s="33">
        <v>1846.9256481481402</v>
      </c>
      <c r="F171" s="33">
        <v>142479.99999999901</v>
      </c>
      <c r="G171" s="33"/>
    </row>
    <row r="172" spans="1:7" x14ac:dyDescent="0.2">
      <c r="A172" s="46">
        <v>50038</v>
      </c>
      <c r="B172" s="21">
        <v>156</v>
      </c>
      <c r="C172" s="33">
        <v>695.55555555555554</v>
      </c>
      <c r="D172" s="33">
        <v>1145.7766666666587</v>
      </c>
      <c r="E172" s="33">
        <v>1841.3322222222141</v>
      </c>
      <c r="F172" s="33">
        <v>141784.44444444345</v>
      </c>
      <c r="G172" s="33"/>
    </row>
    <row r="173" spans="1:7" x14ac:dyDescent="0.2">
      <c r="A173" s="46">
        <v>50069</v>
      </c>
      <c r="B173" s="21">
        <v>157</v>
      </c>
      <c r="C173" s="33">
        <v>695.55555555555554</v>
      </c>
      <c r="D173" s="33">
        <v>1140.1832407407326</v>
      </c>
      <c r="E173" s="33">
        <v>1835.738796296288</v>
      </c>
      <c r="F173" s="33">
        <v>141088.88888888789</v>
      </c>
      <c r="G173" s="33"/>
    </row>
    <row r="174" spans="1:7" x14ac:dyDescent="0.2">
      <c r="A174" s="46">
        <v>50100</v>
      </c>
      <c r="B174" s="21">
        <v>158</v>
      </c>
      <c r="C174" s="33">
        <v>695.55555555555554</v>
      </c>
      <c r="D174" s="33">
        <v>1134.5898148148067</v>
      </c>
      <c r="E174" s="33">
        <v>1830.1453703703623</v>
      </c>
      <c r="F174" s="33">
        <v>140393.33333333232</v>
      </c>
      <c r="G174" s="33"/>
    </row>
    <row r="175" spans="1:7" x14ac:dyDescent="0.2">
      <c r="A175" s="46">
        <v>50128</v>
      </c>
      <c r="B175" s="21">
        <v>159</v>
      </c>
      <c r="C175" s="33">
        <v>695.55555555555554</v>
      </c>
      <c r="D175" s="33">
        <v>1128.9963888888806</v>
      </c>
      <c r="E175" s="33">
        <v>1824.5519444444362</v>
      </c>
      <c r="F175" s="33">
        <v>139697.77777777676</v>
      </c>
      <c r="G175" s="33"/>
    </row>
    <row r="176" spans="1:7" x14ac:dyDescent="0.2">
      <c r="A176" s="46">
        <v>50159</v>
      </c>
      <c r="B176" s="21">
        <v>160</v>
      </c>
      <c r="C176" s="33">
        <v>695.55555555555554</v>
      </c>
      <c r="D176" s="33">
        <v>1123.4029629629547</v>
      </c>
      <c r="E176" s="33">
        <v>1818.9585185185101</v>
      </c>
      <c r="F176" s="33">
        <v>139002.2222222212</v>
      </c>
      <c r="G176" s="33"/>
    </row>
    <row r="177" spans="1:7" x14ac:dyDescent="0.2">
      <c r="A177" s="46">
        <v>50189</v>
      </c>
      <c r="B177" s="21">
        <v>161</v>
      </c>
      <c r="C177" s="33">
        <v>695.55555555555554</v>
      </c>
      <c r="D177" s="33">
        <v>1117.8095370370286</v>
      </c>
      <c r="E177" s="33">
        <v>1813.365092592584</v>
      </c>
      <c r="F177" s="33">
        <v>138306.66666666564</v>
      </c>
      <c r="G177" s="33"/>
    </row>
    <row r="178" spans="1:7" x14ac:dyDescent="0.2">
      <c r="A178" s="46">
        <v>50220</v>
      </c>
      <c r="B178" s="21">
        <v>162</v>
      </c>
      <c r="C178" s="33">
        <v>695.55555555555554</v>
      </c>
      <c r="D178" s="33">
        <v>1112.2161111111027</v>
      </c>
      <c r="E178" s="33">
        <v>1807.7716666666583</v>
      </c>
      <c r="F178" s="33">
        <v>137611.11111111008</v>
      </c>
      <c r="G178" s="33"/>
    </row>
    <row r="179" spans="1:7" x14ac:dyDescent="0.2">
      <c r="A179" s="46">
        <v>50250</v>
      </c>
      <c r="B179" s="21">
        <v>163</v>
      </c>
      <c r="C179" s="33">
        <v>695.55555555555554</v>
      </c>
      <c r="D179" s="33">
        <v>1106.6226851851768</v>
      </c>
      <c r="E179" s="33">
        <v>1802.1782407407322</v>
      </c>
      <c r="F179" s="33">
        <v>136915.55555555451</v>
      </c>
      <c r="G179" s="33"/>
    </row>
    <row r="180" spans="1:7" x14ac:dyDescent="0.2">
      <c r="A180" s="46">
        <v>50281</v>
      </c>
      <c r="B180" s="21">
        <v>164</v>
      </c>
      <c r="C180" s="33">
        <v>695.55555555555554</v>
      </c>
      <c r="D180" s="33">
        <v>1101.0292592592507</v>
      </c>
      <c r="E180" s="33">
        <v>1796.5848148148061</v>
      </c>
      <c r="F180" s="33">
        <v>136219.99999999895</v>
      </c>
      <c r="G180" s="33"/>
    </row>
    <row r="181" spans="1:7" x14ac:dyDescent="0.2">
      <c r="A181" s="46">
        <v>50312</v>
      </c>
      <c r="B181" s="21">
        <v>165</v>
      </c>
      <c r="C181" s="33">
        <v>695.55555555555554</v>
      </c>
      <c r="D181" s="33">
        <v>1095.4358333333248</v>
      </c>
      <c r="E181" s="33">
        <v>1790.9913888888805</v>
      </c>
      <c r="F181" s="33">
        <v>135524.44444444339</v>
      </c>
      <c r="G181" s="33"/>
    </row>
    <row r="182" spans="1:7" x14ac:dyDescent="0.2">
      <c r="A182" s="46">
        <v>50342</v>
      </c>
      <c r="B182" s="21">
        <v>166</v>
      </c>
      <c r="C182" s="33">
        <v>695.55555555555554</v>
      </c>
      <c r="D182" s="33">
        <v>1089.8424074073987</v>
      </c>
      <c r="E182" s="33">
        <v>1785.3979629629544</v>
      </c>
      <c r="F182" s="33">
        <v>134828.88888888783</v>
      </c>
      <c r="G182" s="33"/>
    </row>
    <row r="183" spans="1:7" x14ac:dyDescent="0.2">
      <c r="A183" s="46">
        <v>50373</v>
      </c>
      <c r="B183" s="21">
        <v>167</v>
      </c>
      <c r="C183" s="33">
        <v>695.55555555555554</v>
      </c>
      <c r="D183" s="33">
        <v>1084.2489814814728</v>
      </c>
      <c r="E183" s="33">
        <v>1779.8045370370282</v>
      </c>
      <c r="F183" s="33">
        <v>134133.33333333227</v>
      </c>
      <c r="G183" s="33"/>
    </row>
    <row r="184" spans="1:7" x14ac:dyDescent="0.2">
      <c r="A184" s="46">
        <v>50403</v>
      </c>
      <c r="B184" s="21">
        <v>168</v>
      </c>
      <c r="C184" s="33">
        <v>695.55555555555554</v>
      </c>
      <c r="D184" s="33">
        <v>1078.6555555555469</v>
      </c>
      <c r="E184" s="33">
        <v>1774.2111111111026</v>
      </c>
      <c r="F184" s="33">
        <v>133437.7777777767</v>
      </c>
      <c r="G184" s="33"/>
    </row>
    <row r="185" spans="1:7" x14ac:dyDescent="0.2">
      <c r="A185" s="46">
        <v>50434</v>
      </c>
      <c r="B185" s="21">
        <v>169</v>
      </c>
      <c r="C185" s="33">
        <v>695.55555555555554</v>
      </c>
      <c r="D185" s="33">
        <v>1073.0621296296208</v>
      </c>
      <c r="E185" s="33">
        <v>1768.6176851851765</v>
      </c>
      <c r="F185" s="33">
        <v>132742.22222222114</v>
      </c>
      <c r="G185" s="33"/>
    </row>
    <row r="186" spans="1:7" x14ac:dyDescent="0.2">
      <c r="A186" s="46">
        <v>50465</v>
      </c>
      <c r="B186" s="21">
        <v>170</v>
      </c>
      <c r="C186" s="33">
        <v>695.55555555555554</v>
      </c>
      <c r="D186" s="33">
        <v>1067.4687037036949</v>
      </c>
      <c r="E186" s="33">
        <v>1763.0242592592504</v>
      </c>
      <c r="F186" s="33">
        <v>132046.66666666558</v>
      </c>
      <c r="G186" s="33"/>
    </row>
    <row r="187" spans="1:7" x14ac:dyDescent="0.2">
      <c r="A187" s="46">
        <v>50493</v>
      </c>
      <c r="B187" s="21">
        <v>171</v>
      </c>
      <c r="C187" s="33">
        <v>695.55555555555554</v>
      </c>
      <c r="D187" s="33">
        <v>1061.8752777777688</v>
      </c>
      <c r="E187" s="33">
        <v>1757.4308333333242</v>
      </c>
      <c r="F187" s="33">
        <v>131351.11111111002</v>
      </c>
      <c r="G187" s="33"/>
    </row>
    <row r="188" spans="1:7" x14ac:dyDescent="0.2">
      <c r="A188" s="46">
        <v>50524</v>
      </c>
      <c r="B188" s="21">
        <v>172</v>
      </c>
      <c r="C188" s="33">
        <v>695.55555555555554</v>
      </c>
      <c r="D188" s="33">
        <v>1056.2818518518429</v>
      </c>
      <c r="E188" s="33">
        <v>1751.8374074073986</v>
      </c>
      <c r="F188" s="33">
        <v>130655.55555555446</v>
      </c>
      <c r="G188" s="33"/>
    </row>
    <row r="189" spans="1:7" x14ac:dyDescent="0.2">
      <c r="A189" s="46">
        <v>50554</v>
      </c>
      <c r="B189" s="21">
        <v>173</v>
      </c>
      <c r="C189" s="33">
        <v>695.55555555555554</v>
      </c>
      <c r="D189" s="33">
        <v>1050.688425925917</v>
      </c>
      <c r="E189" s="33">
        <v>1746.2439814814725</v>
      </c>
      <c r="F189" s="33">
        <v>129959.99999999889</v>
      </c>
      <c r="G189" s="33"/>
    </row>
    <row r="190" spans="1:7" x14ac:dyDescent="0.2">
      <c r="A190" s="46">
        <v>50585</v>
      </c>
      <c r="B190" s="21">
        <v>174</v>
      </c>
      <c r="C190" s="33">
        <v>695.55555555555554</v>
      </c>
      <c r="D190" s="33">
        <v>1045.0949999999909</v>
      </c>
      <c r="E190" s="33">
        <v>1740.6505555555464</v>
      </c>
      <c r="F190" s="33">
        <v>129264.44444444333</v>
      </c>
      <c r="G190" s="33"/>
    </row>
    <row r="191" spans="1:7" x14ac:dyDescent="0.2">
      <c r="A191" s="46">
        <v>50615</v>
      </c>
      <c r="B191" s="21">
        <v>175</v>
      </c>
      <c r="C191" s="33">
        <v>695.55555555555554</v>
      </c>
      <c r="D191" s="33">
        <v>1039.501574074065</v>
      </c>
      <c r="E191" s="33">
        <v>1735.0571296296207</v>
      </c>
      <c r="F191" s="33">
        <v>128568.88888888777</v>
      </c>
      <c r="G191" s="33"/>
    </row>
    <row r="192" spans="1:7" x14ac:dyDescent="0.2">
      <c r="A192" s="46">
        <v>50646</v>
      </c>
      <c r="B192" s="21">
        <v>176</v>
      </c>
      <c r="C192" s="33">
        <v>695.55555555555554</v>
      </c>
      <c r="D192" s="33">
        <v>1033.9081481481389</v>
      </c>
      <c r="E192" s="33">
        <v>1729.4637037036946</v>
      </c>
      <c r="F192" s="33">
        <v>127873.33333333221</v>
      </c>
      <c r="G192" s="33"/>
    </row>
    <row r="193" spans="1:7" x14ac:dyDescent="0.2">
      <c r="A193" s="46">
        <v>50677</v>
      </c>
      <c r="B193" s="21">
        <v>177</v>
      </c>
      <c r="C193" s="33">
        <v>695.55555555555554</v>
      </c>
      <c r="D193" s="33">
        <v>1028.314722222213</v>
      </c>
      <c r="E193" s="33">
        <v>1723.8702777777685</v>
      </c>
      <c r="F193" s="33">
        <v>127177.77777777665</v>
      </c>
      <c r="G193" s="33"/>
    </row>
    <row r="194" spans="1:7" x14ac:dyDescent="0.2">
      <c r="A194" s="46">
        <v>50707</v>
      </c>
      <c r="B194" s="21">
        <v>178</v>
      </c>
      <c r="C194" s="33">
        <v>695.55555555555554</v>
      </c>
      <c r="D194" s="33">
        <v>1022.7212962962871</v>
      </c>
      <c r="E194" s="33">
        <v>1718.2768518518426</v>
      </c>
      <c r="F194" s="33">
        <v>126482.22222222108</v>
      </c>
      <c r="G194" s="33"/>
    </row>
    <row r="195" spans="1:7" x14ac:dyDescent="0.2">
      <c r="A195" s="46">
        <v>50738</v>
      </c>
      <c r="B195" s="21">
        <v>179</v>
      </c>
      <c r="C195" s="33">
        <v>695.55555555555554</v>
      </c>
      <c r="D195" s="33">
        <v>1017.1278703703611</v>
      </c>
      <c r="E195" s="33">
        <v>1712.6834259259167</v>
      </c>
      <c r="F195" s="33">
        <v>125786.66666666552</v>
      </c>
      <c r="G195" s="33"/>
    </row>
    <row r="196" spans="1:7" x14ac:dyDescent="0.2">
      <c r="A196" s="46">
        <v>50768</v>
      </c>
      <c r="B196" s="21">
        <v>180</v>
      </c>
      <c r="C196" s="33">
        <v>695.55555555555554</v>
      </c>
      <c r="D196" s="33">
        <v>1011.5344444444352</v>
      </c>
      <c r="E196" s="33">
        <v>1707.0899999999906</v>
      </c>
      <c r="F196" s="33">
        <v>125091.11111110996</v>
      </c>
      <c r="G196" s="33"/>
    </row>
    <row r="197" spans="1:7" x14ac:dyDescent="0.2">
      <c r="A197" s="46">
        <v>50799</v>
      </c>
      <c r="B197" s="21">
        <v>181</v>
      </c>
      <c r="C197" s="33">
        <v>695.55555555555554</v>
      </c>
      <c r="D197" s="33">
        <v>1005.9410185185092</v>
      </c>
      <c r="E197" s="33">
        <v>1701.4965740740647</v>
      </c>
      <c r="F197" s="33">
        <v>124395.5555555544</v>
      </c>
      <c r="G197" s="33"/>
    </row>
    <row r="198" spans="1:7" x14ac:dyDescent="0.2">
      <c r="A198" s="46">
        <v>50830</v>
      </c>
      <c r="B198" s="21">
        <v>182</v>
      </c>
      <c r="C198" s="33">
        <v>695.55555555555554</v>
      </c>
      <c r="D198" s="33">
        <v>1000.3475925925832</v>
      </c>
      <c r="E198" s="33">
        <v>1695.9031481481388</v>
      </c>
      <c r="F198" s="33">
        <v>123699.99999999884</v>
      </c>
      <c r="G198" s="33"/>
    </row>
    <row r="199" spans="1:7" x14ac:dyDescent="0.2">
      <c r="A199" s="46">
        <v>50858</v>
      </c>
      <c r="B199" s="21">
        <v>183</v>
      </c>
      <c r="C199" s="33">
        <v>695.55555555555554</v>
      </c>
      <c r="D199" s="33">
        <v>994.75416666665717</v>
      </c>
      <c r="E199" s="33">
        <v>1690.3097222222127</v>
      </c>
      <c r="F199" s="33">
        <v>123004.44444444327</v>
      </c>
      <c r="G199" s="33"/>
    </row>
    <row r="200" spans="1:7" x14ac:dyDescent="0.2">
      <c r="A200" s="46">
        <v>50889</v>
      </c>
      <c r="B200" s="21">
        <v>184</v>
      </c>
      <c r="C200" s="33">
        <v>695.55555555555554</v>
      </c>
      <c r="D200" s="33">
        <v>989.16074074073117</v>
      </c>
      <c r="E200" s="33">
        <v>1684.7162962962866</v>
      </c>
      <c r="F200" s="33">
        <v>122308.88888888771</v>
      </c>
      <c r="G200" s="33"/>
    </row>
    <row r="201" spans="1:7" x14ac:dyDescent="0.2">
      <c r="A201" s="46">
        <v>50919</v>
      </c>
      <c r="B201" s="21">
        <v>185</v>
      </c>
      <c r="C201" s="33">
        <v>695.55555555555554</v>
      </c>
      <c r="D201" s="33">
        <v>983.56731481480529</v>
      </c>
      <c r="E201" s="33">
        <v>1679.1228703703609</v>
      </c>
      <c r="F201" s="33">
        <v>121613.33333333215</v>
      </c>
      <c r="G201" s="33"/>
    </row>
    <row r="202" spans="1:7" x14ac:dyDescent="0.2">
      <c r="A202" s="46">
        <v>50950</v>
      </c>
      <c r="B202" s="21">
        <v>186</v>
      </c>
      <c r="C202" s="33">
        <v>695.55555555555554</v>
      </c>
      <c r="D202" s="33">
        <v>977.97388888887929</v>
      </c>
      <c r="E202" s="33">
        <v>1673.5294444444348</v>
      </c>
      <c r="F202" s="33">
        <v>120917.77777777659</v>
      </c>
      <c r="G202" s="33"/>
    </row>
    <row r="203" spans="1:7" x14ac:dyDescent="0.2">
      <c r="A203" s="46">
        <v>50980</v>
      </c>
      <c r="B203" s="21">
        <v>187</v>
      </c>
      <c r="C203" s="33">
        <v>695.55555555555554</v>
      </c>
      <c r="D203" s="33">
        <v>972.38046296295329</v>
      </c>
      <c r="E203" s="33">
        <v>1667.9360185185087</v>
      </c>
      <c r="F203" s="33">
        <v>120222.22222222103</v>
      </c>
      <c r="G203" s="33"/>
    </row>
    <row r="204" spans="1:7" x14ac:dyDescent="0.2">
      <c r="A204" s="46">
        <v>51011</v>
      </c>
      <c r="B204" s="21">
        <v>188</v>
      </c>
      <c r="C204" s="33">
        <v>695.55555555555554</v>
      </c>
      <c r="D204" s="33">
        <v>966.78703703702729</v>
      </c>
      <c r="E204" s="33">
        <v>1662.3425925925828</v>
      </c>
      <c r="F204" s="33">
        <v>119526.66666666546</v>
      </c>
      <c r="G204" s="33"/>
    </row>
    <row r="205" spans="1:7" x14ac:dyDescent="0.2">
      <c r="A205" s="46">
        <v>51042</v>
      </c>
      <c r="B205" s="21">
        <v>189</v>
      </c>
      <c r="C205" s="33">
        <v>695.55555555555554</v>
      </c>
      <c r="D205" s="33">
        <v>961.19361111110129</v>
      </c>
      <c r="E205" s="33">
        <v>1656.7491666666569</v>
      </c>
      <c r="F205" s="33">
        <v>118831.1111111099</v>
      </c>
      <c r="G205" s="33"/>
    </row>
    <row r="206" spans="1:7" x14ac:dyDescent="0.2">
      <c r="A206" s="46">
        <v>51072</v>
      </c>
      <c r="B206" s="21">
        <v>190</v>
      </c>
      <c r="C206" s="33">
        <v>695.55555555555554</v>
      </c>
      <c r="D206" s="33">
        <v>955.60018518517529</v>
      </c>
      <c r="E206" s="33">
        <v>1651.1557407407308</v>
      </c>
      <c r="F206" s="33">
        <v>118135.55555555434</v>
      </c>
      <c r="G206" s="33"/>
    </row>
    <row r="207" spans="1:7" x14ac:dyDescent="0.2">
      <c r="A207" s="46">
        <v>51103</v>
      </c>
      <c r="B207" s="21">
        <v>191</v>
      </c>
      <c r="C207" s="33">
        <v>695.55555555555554</v>
      </c>
      <c r="D207" s="33">
        <v>950.00675925924941</v>
      </c>
      <c r="E207" s="33">
        <v>1645.5623148148049</v>
      </c>
      <c r="F207" s="33">
        <v>117439.99999999878</v>
      </c>
      <c r="G207" s="33"/>
    </row>
    <row r="208" spans="1:7" x14ac:dyDescent="0.2">
      <c r="A208" s="46">
        <v>51133</v>
      </c>
      <c r="B208" s="21">
        <v>192</v>
      </c>
      <c r="C208" s="33">
        <v>695.55555555555554</v>
      </c>
      <c r="D208" s="33">
        <v>944.41333333332341</v>
      </c>
      <c r="E208" s="33">
        <v>1639.9688888888791</v>
      </c>
      <c r="F208" s="33">
        <v>116744.44444444322</v>
      </c>
      <c r="G208" s="33"/>
    </row>
    <row r="209" spans="1:7" x14ac:dyDescent="0.2">
      <c r="A209" s="46">
        <v>51164</v>
      </c>
      <c r="B209" s="21">
        <v>193</v>
      </c>
      <c r="C209" s="33">
        <v>695.55555555555554</v>
      </c>
      <c r="D209" s="33">
        <v>938.81990740739741</v>
      </c>
      <c r="E209" s="33">
        <v>1634.375462962953</v>
      </c>
      <c r="F209" s="33">
        <v>116048.88888888765</v>
      </c>
      <c r="G209" s="33"/>
    </row>
    <row r="210" spans="1:7" x14ac:dyDescent="0.2">
      <c r="A210" s="46">
        <v>51195</v>
      </c>
      <c r="B210" s="21">
        <v>194</v>
      </c>
      <c r="C210" s="33">
        <v>695.55555555555554</v>
      </c>
      <c r="D210" s="33">
        <v>933.22648148147141</v>
      </c>
      <c r="E210" s="33">
        <v>1628.7820370370268</v>
      </c>
      <c r="F210" s="33">
        <v>115353.33333333209</v>
      </c>
      <c r="G210" s="33"/>
    </row>
    <row r="211" spans="1:7" x14ac:dyDescent="0.2">
      <c r="A211" s="46">
        <v>51224</v>
      </c>
      <c r="B211" s="21">
        <v>195</v>
      </c>
      <c r="C211" s="33">
        <v>695.55555555555554</v>
      </c>
      <c r="D211" s="33">
        <v>927.63305555554541</v>
      </c>
      <c r="E211" s="33">
        <v>1623.188611111101</v>
      </c>
      <c r="F211" s="33">
        <v>114657.77777777653</v>
      </c>
      <c r="G211" s="33"/>
    </row>
    <row r="212" spans="1:7" x14ac:dyDescent="0.2">
      <c r="A212" s="46">
        <v>51255</v>
      </c>
      <c r="B212" s="21">
        <v>196</v>
      </c>
      <c r="C212" s="33">
        <v>695.55555555555554</v>
      </c>
      <c r="D212" s="33">
        <v>922.03962962961953</v>
      </c>
      <c r="E212" s="33">
        <v>1617.5951851851751</v>
      </c>
      <c r="F212" s="33">
        <v>113962.22222222097</v>
      </c>
      <c r="G212" s="33"/>
    </row>
    <row r="213" spans="1:7" x14ac:dyDescent="0.2">
      <c r="A213" s="46">
        <v>51285</v>
      </c>
      <c r="B213" s="21">
        <v>197</v>
      </c>
      <c r="C213" s="33">
        <v>695.55555555555554</v>
      </c>
      <c r="D213" s="33">
        <v>916.44620370369353</v>
      </c>
      <c r="E213" s="33">
        <v>1612.001759259249</v>
      </c>
      <c r="F213" s="33">
        <v>113266.66666666541</v>
      </c>
      <c r="G213" s="33"/>
    </row>
    <row r="214" spans="1:7" x14ac:dyDescent="0.2">
      <c r="A214" s="46">
        <v>51316</v>
      </c>
      <c r="B214" s="21">
        <v>198</v>
      </c>
      <c r="C214" s="33">
        <v>695.55555555555554</v>
      </c>
      <c r="D214" s="33">
        <v>910.85277777776753</v>
      </c>
      <c r="E214" s="33">
        <v>1606.4083333333231</v>
      </c>
      <c r="F214" s="33">
        <v>112571.11111110984</v>
      </c>
      <c r="G214" s="33"/>
    </row>
    <row r="215" spans="1:7" x14ac:dyDescent="0.2">
      <c r="A215" s="46">
        <v>51346</v>
      </c>
      <c r="B215" s="21">
        <v>199</v>
      </c>
      <c r="C215" s="33">
        <v>695.55555555555554</v>
      </c>
      <c r="D215" s="33">
        <v>905.25935185184153</v>
      </c>
      <c r="E215" s="33">
        <v>1600.8149074073972</v>
      </c>
      <c r="F215" s="33">
        <v>111875.55555555428</v>
      </c>
      <c r="G215" s="33"/>
    </row>
    <row r="216" spans="1:7" x14ac:dyDescent="0.2">
      <c r="A216" s="46">
        <v>51377</v>
      </c>
      <c r="B216" s="21">
        <v>200</v>
      </c>
      <c r="C216" s="33">
        <v>695.55555555555554</v>
      </c>
      <c r="D216" s="33">
        <v>899.66592592591553</v>
      </c>
      <c r="E216" s="33">
        <v>1595.2214814814711</v>
      </c>
      <c r="F216" s="33">
        <v>111179.99999999872</v>
      </c>
      <c r="G216" s="33"/>
    </row>
    <row r="217" spans="1:7" x14ac:dyDescent="0.2">
      <c r="A217" s="46">
        <v>51408</v>
      </c>
      <c r="B217" s="21">
        <v>201</v>
      </c>
      <c r="C217" s="33">
        <v>695.55555555555554</v>
      </c>
      <c r="D217" s="33">
        <v>894.07249999998965</v>
      </c>
      <c r="E217" s="33">
        <v>1589.6280555555452</v>
      </c>
      <c r="F217" s="33">
        <v>110484.44444444316</v>
      </c>
      <c r="G217" s="33"/>
    </row>
    <row r="218" spans="1:7" x14ac:dyDescent="0.2">
      <c r="A218" s="46">
        <v>51438</v>
      </c>
      <c r="B218" s="21">
        <v>202</v>
      </c>
      <c r="C218" s="33">
        <v>695.55555555555554</v>
      </c>
      <c r="D218" s="33">
        <v>888.47907407406365</v>
      </c>
      <c r="E218" s="33">
        <v>1584.0346296296193</v>
      </c>
      <c r="F218" s="33">
        <v>109788.8888888876</v>
      </c>
      <c r="G218" s="33"/>
    </row>
    <row r="219" spans="1:7" x14ac:dyDescent="0.2">
      <c r="A219" s="46">
        <v>51469</v>
      </c>
      <c r="B219" s="21">
        <v>203</v>
      </c>
      <c r="C219" s="33">
        <v>695.55555555555554</v>
      </c>
      <c r="D219" s="33">
        <v>882.88564814813765</v>
      </c>
      <c r="E219" s="33">
        <v>1578.4412037036932</v>
      </c>
      <c r="F219" s="33">
        <v>109093.33333333203</v>
      </c>
      <c r="G219" s="33"/>
    </row>
    <row r="220" spans="1:7" x14ac:dyDescent="0.2">
      <c r="A220" s="46">
        <v>51499</v>
      </c>
      <c r="B220" s="21">
        <v>204</v>
      </c>
      <c r="C220" s="33">
        <v>695.55555555555554</v>
      </c>
      <c r="D220" s="33">
        <v>877.29222222221165</v>
      </c>
      <c r="E220" s="33">
        <v>1572.8477777777671</v>
      </c>
      <c r="F220" s="33">
        <v>108397.77777777647</v>
      </c>
      <c r="G220" s="33"/>
    </row>
    <row r="221" spans="1:7" x14ac:dyDescent="0.2">
      <c r="A221" s="46">
        <v>51530</v>
      </c>
      <c r="B221" s="21">
        <v>205</v>
      </c>
      <c r="C221" s="33">
        <v>695.55555555555554</v>
      </c>
      <c r="D221" s="33">
        <v>871.69879629628565</v>
      </c>
      <c r="E221" s="33">
        <v>1567.2543518518412</v>
      </c>
      <c r="F221" s="33">
        <v>107702.22222222091</v>
      </c>
      <c r="G221" s="33"/>
    </row>
    <row r="222" spans="1:7" x14ac:dyDescent="0.2">
      <c r="A222" s="46">
        <v>51561</v>
      </c>
      <c r="B222" s="21">
        <v>206</v>
      </c>
      <c r="C222" s="33">
        <v>695.55555555555554</v>
      </c>
      <c r="D222" s="33">
        <v>866.10537037035976</v>
      </c>
      <c r="E222" s="33">
        <v>1561.6609259259153</v>
      </c>
      <c r="F222" s="33">
        <v>107006.66666666535</v>
      </c>
      <c r="G222" s="33"/>
    </row>
    <row r="223" spans="1:7" x14ac:dyDescent="0.2">
      <c r="A223" s="46">
        <v>51589</v>
      </c>
      <c r="B223" s="21">
        <v>207</v>
      </c>
      <c r="C223" s="33">
        <v>695.55555555555554</v>
      </c>
      <c r="D223" s="33">
        <v>860.51194444443377</v>
      </c>
      <c r="E223" s="33">
        <v>1556.0674999999892</v>
      </c>
      <c r="F223" s="33">
        <v>106311.11111110979</v>
      </c>
      <c r="G223" s="33"/>
    </row>
    <row r="224" spans="1:7" x14ac:dyDescent="0.2">
      <c r="A224" s="46">
        <v>51620</v>
      </c>
      <c r="B224" s="21">
        <v>208</v>
      </c>
      <c r="C224" s="33">
        <v>695.55555555555554</v>
      </c>
      <c r="D224" s="33">
        <v>854.91851851850777</v>
      </c>
      <c r="E224" s="33">
        <v>1550.4740740740633</v>
      </c>
      <c r="F224" s="33">
        <v>105615.55555555422</v>
      </c>
      <c r="G224" s="33"/>
    </row>
    <row r="225" spans="1:7" x14ac:dyDescent="0.2">
      <c r="A225" s="46">
        <v>51650</v>
      </c>
      <c r="B225" s="21">
        <v>209</v>
      </c>
      <c r="C225" s="33">
        <v>695.55555555555554</v>
      </c>
      <c r="D225" s="33">
        <v>849.32509259258177</v>
      </c>
      <c r="E225" s="33">
        <v>1544.8806481481374</v>
      </c>
      <c r="F225" s="33">
        <v>104919.99999999866</v>
      </c>
      <c r="G225" s="33"/>
    </row>
    <row r="226" spans="1:7" x14ac:dyDescent="0.2">
      <c r="A226" s="46">
        <v>51681</v>
      </c>
      <c r="B226" s="21">
        <v>210</v>
      </c>
      <c r="C226" s="33">
        <v>695.55555555555554</v>
      </c>
      <c r="D226" s="33">
        <v>843.73166666665577</v>
      </c>
      <c r="E226" s="33">
        <v>1539.2872222222113</v>
      </c>
      <c r="F226" s="33">
        <v>104224.4444444431</v>
      </c>
      <c r="G226" s="33"/>
    </row>
    <row r="227" spans="1:7" x14ac:dyDescent="0.2">
      <c r="A227" s="46">
        <v>51711</v>
      </c>
      <c r="B227" s="21">
        <v>211</v>
      </c>
      <c r="C227" s="33">
        <v>695.55555555555554</v>
      </c>
      <c r="D227" s="33">
        <v>838.13824074072977</v>
      </c>
      <c r="E227" s="33">
        <v>1533.6937962962852</v>
      </c>
      <c r="F227" s="33">
        <v>103528.88888888754</v>
      </c>
      <c r="G227" s="33"/>
    </row>
    <row r="228" spans="1:7" x14ac:dyDescent="0.2">
      <c r="A228" s="46">
        <v>51742</v>
      </c>
      <c r="B228" s="21">
        <v>212</v>
      </c>
      <c r="C228" s="33">
        <v>695.55555555555554</v>
      </c>
      <c r="D228" s="33">
        <v>832.54481481480389</v>
      </c>
      <c r="E228" s="33">
        <v>1528.1003703703595</v>
      </c>
      <c r="F228" s="33">
        <v>102833.33333333198</v>
      </c>
      <c r="G228" s="33"/>
    </row>
    <row r="229" spans="1:7" x14ac:dyDescent="0.2">
      <c r="A229" s="46">
        <v>51773</v>
      </c>
      <c r="B229" s="21">
        <v>213</v>
      </c>
      <c r="C229" s="33">
        <v>695.55555555555554</v>
      </c>
      <c r="D229" s="33">
        <v>826.95138888887789</v>
      </c>
      <c r="E229" s="33">
        <v>1522.5069444444334</v>
      </c>
      <c r="F229" s="33">
        <v>102137.77777777641</v>
      </c>
      <c r="G229" s="33"/>
    </row>
    <row r="230" spans="1:7" x14ac:dyDescent="0.2">
      <c r="A230" s="46">
        <v>51803</v>
      </c>
      <c r="B230" s="21">
        <v>214</v>
      </c>
      <c r="C230" s="33">
        <v>695.55555555555554</v>
      </c>
      <c r="D230" s="33">
        <v>821.35796296295189</v>
      </c>
      <c r="E230" s="33">
        <v>1516.9135185185073</v>
      </c>
      <c r="F230" s="33">
        <v>101442.22222222085</v>
      </c>
      <c r="G230" s="33"/>
    </row>
    <row r="231" spans="1:7" x14ac:dyDescent="0.2">
      <c r="A231" s="46">
        <v>51834</v>
      </c>
      <c r="B231" s="21">
        <v>215</v>
      </c>
      <c r="C231" s="33">
        <v>695.55555555555554</v>
      </c>
      <c r="D231" s="33">
        <v>815.76453703702589</v>
      </c>
      <c r="E231" s="33">
        <v>1511.3200925925814</v>
      </c>
      <c r="F231" s="33">
        <v>100746.66666666529</v>
      </c>
      <c r="G231" s="33"/>
    </row>
    <row r="232" spans="1:7" x14ac:dyDescent="0.2">
      <c r="A232" s="46">
        <v>51864</v>
      </c>
      <c r="B232" s="21">
        <v>216</v>
      </c>
      <c r="C232" s="33">
        <v>695.55555555555554</v>
      </c>
      <c r="D232" s="33">
        <v>810.17111111109989</v>
      </c>
      <c r="E232" s="33">
        <v>1505.7266666666555</v>
      </c>
      <c r="F232" s="33">
        <v>100051.11111110973</v>
      </c>
      <c r="G232" s="33"/>
    </row>
    <row r="233" spans="1:7" x14ac:dyDescent="0.2">
      <c r="A233" s="46">
        <v>51895</v>
      </c>
      <c r="B233" s="21">
        <v>217</v>
      </c>
      <c r="C233" s="33">
        <v>695.55555555555554</v>
      </c>
      <c r="D233" s="33">
        <v>804.577685185174</v>
      </c>
      <c r="E233" s="33">
        <v>1500.1332407407294</v>
      </c>
      <c r="F233" s="33">
        <v>99355.555555554165</v>
      </c>
      <c r="G233" s="33"/>
    </row>
    <row r="234" spans="1:7" x14ac:dyDescent="0.2">
      <c r="A234" s="46">
        <v>51926</v>
      </c>
      <c r="B234" s="21">
        <v>218</v>
      </c>
      <c r="C234" s="33">
        <v>695.55555555555554</v>
      </c>
      <c r="D234" s="33">
        <v>798.98425925924801</v>
      </c>
      <c r="E234" s="33">
        <v>1494.5398148148035</v>
      </c>
      <c r="F234" s="33">
        <v>98659.999999998603</v>
      </c>
      <c r="G234" s="33"/>
    </row>
    <row r="235" spans="1:7" x14ac:dyDescent="0.2">
      <c r="A235" s="46">
        <v>51954</v>
      </c>
      <c r="B235" s="21">
        <v>219</v>
      </c>
      <c r="C235" s="33">
        <v>695.55555555555554</v>
      </c>
      <c r="D235" s="33">
        <v>793.39083333332201</v>
      </c>
      <c r="E235" s="33">
        <v>1488.9463888888777</v>
      </c>
      <c r="F235" s="33">
        <v>97964.444444443041</v>
      </c>
      <c r="G235" s="33"/>
    </row>
    <row r="236" spans="1:7" x14ac:dyDescent="0.2">
      <c r="A236" s="46">
        <v>51985</v>
      </c>
      <c r="B236" s="21">
        <v>220</v>
      </c>
      <c r="C236" s="33">
        <v>695.55555555555554</v>
      </c>
      <c r="D236" s="33">
        <v>787.79740740739601</v>
      </c>
      <c r="E236" s="33">
        <v>1483.3529629629516</v>
      </c>
      <c r="F236" s="33">
        <v>97268.888888887479</v>
      </c>
      <c r="G236" s="33"/>
    </row>
    <row r="237" spans="1:7" x14ac:dyDescent="0.2">
      <c r="A237" s="46">
        <v>52015</v>
      </c>
      <c r="B237" s="21">
        <v>221</v>
      </c>
      <c r="C237" s="33">
        <v>695.55555555555554</v>
      </c>
      <c r="D237" s="33">
        <v>782.20398148147001</v>
      </c>
      <c r="E237" s="33">
        <v>1477.7595370370254</v>
      </c>
      <c r="F237" s="33">
        <v>96573.333333331917</v>
      </c>
      <c r="G237" s="33"/>
    </row>
    <row r="238" spans="1:7" x14ac:dyDescent="0.2">
      <c r="A238" s="46">
        <v>52046</v>
      </c>
      <c r="B238" s="21">
        <v>222</v>
      </c>
      <c r="C238" s="33">
        <v>695.55555555555554</v>
      </c>
      <c r="D238" s="33">
        <v>776.61055555554412</v>
      </c>
      <c r="E238" s="33">
        <v>1472.1661111110998</v>
      </c>
      <c r="F238" s="33">
        <v>95877.777777776355</v>
      </c>
      <c r="G238" s="33"/>
    </row>
    <row r="239" spans="1:7" x14ac:dyDescent="0.2">
      <c r="A239" s="46">
        <v>52076</v>
      </c>
      <c r="B239" s="21">
        <v>223</v>
      </c>
      <c r="C239" s="33">
        <v>695.55555555555554</v>
      </c>
      <c r="D239" s="33">
        <v>771.01712962961813</v>
      </c>
      <c r="E239" s="33">
        <v>1466.5726851851737</v>
      </c>
      <c r="F239" s="33">
        <v>95182.222222220793</v>
      </c>
      <c r="G239" s="33"/>
    </row>
    <row r="240" spans="1:7" x14ac:dyDescent="0.2">
      <c r="A240" s="46">
        <v>52107</v>
      </c>
      <c r="B240" s="21">
        <v>224</v>
      </c>
      <c r="C240" s="33">
        <v>695.55555555555554</v>
      </c>
      <c r="D240" s="33">
        <v>765.42370370369213</v>
      </c>
      <c r="E240" s="33">
        <v>1460.9792592592476</v>
      </c>
      <c r="F240" s="33">
        <v>94486.666666665231</v>
      </c>
      <c r="G240" s="33"/>
    </row>
    <row r="241" spans="1:7" x14ac:dyDescent="0.2">
      <c r="A241" s="46">
        <v>52138</v>
      </c>
      <c r="B241" s="21">
        <v>225</v>
      </c>
      <c r="C241" s="33">
        <v>695.55555555555554</v>
      </c>
      <c r="D241" s="33">
        <v>759.83027777776613</v>
      </c>
      <c r="E241" s="33">
        <v>1455.3858333333217</v>
      </c>
      <c r="F241" s="33">
        <v>93791.111111109669</v>
      </c>
      <c r="G241" s="33"/>
    </row>
    <row r="242" spans="1:7" x14ac:dyDescent="0.2">
      <c r="A242" s="46">
        <v>52168</v>
      </c>
      <c r="B242" s="21">
        <v>226</v>
      </c>
      <c r="C242" s="33">
        <v>695.55555555555554</v>
      </c>
      <c r="D242" s="33">
        <v>754.23685185184013</v>
      </c>
      <c r="E242" s="33">
        <v>1449.7924074073958</v>
      </c>
      <c r="F242" s="33">
        <v>93095.555555554107</v>
      </c>
      <c r="G242" s="33"/>
    </row>
    <row r="243" spans="1:7" x14ac:dyDescent="0.2">
      <c r="A243" s="46">
        <v>52199</v>
      </c>
      <c r="B243" s="21">
        <v>227</v>
      </c>
      <c r="C243" s="33">
        <v>695.55555555555554</v>
      </c>
      <c r="D243" s="33">
        <v>748.64342592591424</v>
      </c>
      <c r="E243" s="33">
        <v>1444.1989814814697</v>
      </c>
      <c r="F243" s="33">
        <v>92399.999999998545</v>
      </c>
      <c r="G243" s="33"/>
    </row>
    <row r="244" spans="1:7" x14ac:dyDescent="0.2">
      <c r="A244" s="46">
        <v>52229</v>
      </c>
      <c r="B244" s="21">
        <v>228</v>
      </c>
      <c r="C244" s="33">
        <v>695.55555555555554</v>
      </c>
      <c r="D244" s="33">
        <v>743.04999999998824</v>
      </c>
      <c r="E244" s="33">
        <v>1438.6055555555438</v>
      </c>
      <c r="F244" s="33">
        <v>91704.444444442983</v>
      </c>
      <c r="G244" s="33"/>
    </row>
    <row r="245" spans="1:7" x14ac:dyDescent="0.2">
      <c r="A245" s="46">
        <v>52260</v>
      </c>
      <c r="B245" s="21">
        <v>229</v>
      </c>
      <c r="C245" s="33">
        <v>695.55555555555554</v>
      </c>
      <c r="D245" s="33">
        <v>737.45657407406225</v>
      </c>
      <c r="E245" s="33">
        <v>1433.0121296296179</v>
      </c>
      <c r="F245" s="33">
        <v>91008.888888887421</v>
      </c>
      <c r="G245" s="33"/>
    </row>
    <row r="246" spans="1:7" x14ac:dyDescent="0.2">
      <c r="A246" s="46">
        <v>52291</v>
      </c>
      <c r="B246" s="21">
        <v>230</v>
      </c>
      <c r="C246" s="33">
        <v>695.55555555555554</v>
      </c>
      <c r="D246" s="33">
        <v>731.86314814813625</v>
      </c>
      <c r="E246" s="33">
        <v>1427.4187037036918</v>
      </c>
      <c r="F246" s="33">
        <v>90313.333333331859</v>
      </c>
      <c r="G246" s="33"/>
    </row>
    <row r="247" spans="1:7" x14ac:dyDescent="0.2">
      <c r="A247" s="46">
        <v>52319</v>
      </c>
      <c r="B247" s="21">
        <v>231</v>
      </c>
      <c r="C247" s="33">
        <v>695.55555555555554</v>
      </c>
      <c r="D247" s="33">
        <v>726.26972222221025</v>
      </c>
      <c r="E247" s="33">
        <v>1421.8252777777657</v>
      </c>
      <c r="F247" s="33">
        <v>89617.777777776297</v>
      </c>
      <c r="G247" s="33"/>
    </row>
    <row r="248" spans="1:7" x14ac:dyDescent="0.2">
      <c r="A248" s="46">
        <v>52350</v>
      </c>
      <c r="B248" s="21">
        <v>232</v>
      </c>
      <c r="C248" s="33">
        <v>695.55555555555554</v>
      </c>
      <c r="D248" s="33">
        <v>720.67629629628425</v>
      </c>
      <c r="E248" s="33">
        <v>1416.2318518518398</v>
      </c>
      <c r="F248" s="33">
        <v>88922.222222220735</v>
      </c>
      <c r="G248" s="33"/>
    </row>
    <row r="249" spans="1:7" x14ac:dyDescent="0.2">
      <c r="A249" s="46">
        <v>52380</v>
      </c>
      <c r="B249" s="21">
        <v>233</v>
      </c>
      <c r="C249" s="33">
        <v>695.55555555555554</v>
      </c>
      <c r="D249" s="33">
        <v>715.08287037035836</v>
      </c>
      <c r="E249" s="33">
        <v>1410.6384259259139</v>
      </c>
      <c r="F249" s="33">
        <v>88226.666666665173</v>
      </c>
      <c r="G249" s="33"/>
    </row>
    <row r="250" spans="1:7" x14ac:dyDescent="0.2">
      <c r="A250" s="46">
        <v>52411</v>
      </c>
      <c r="B250" s="21">
        <v>234</v>
      </c>
      <c r="C250" s="33">
        <v>695.55555555555554</v>
      </c>
      <c r="D250" s="33">
        <v>709.48944444443237</v>
      </c>
      <c r="E250" s="33">
        <v>1405.0449999999878</v>
      </c>
      <c r="F250" s="33">
        <v>87531.111111109611</v>
      </c>
      <c r="G250" s="33"/>
    </row>
    <row r="251" spans="1:7" x14ac:dyDescent="0.2">
      <c r="A251" s="46">
        <v>52441</v>
      </c>
      <c r="B251" s="21">
        <v>235</v>
      </c>
      <c r="C251" s="33">
        <v>695.55555555555554</v>
      </c>
      <c r="D251" s="33">
        <v>703.89601851850637</v>
      </c>
      <c r="E251" s="33">
        <v>1399.4515740740619</v>
      </c>
      <c r="F251" s="33">
        <v>86835.555555554049</v>
      </c>
      <c r="G251" s="33"/>
    </row>
    <row r="252" spans="1:7" x14ac:dyDescent="0.2">
      <c r="A252" s="46">
        <v>52472</v>
      </c>
      <c r="B252" s="21">
        <v>236</v>
      </c>
      <c r="C252" s="33">
        <v>695.55555555555554</v>
      </c>
      <c r="D252" s="33">
        <v>698.30259259258037</v>
      </c>
      <c r="E252" s="33">
        <v>1393.858148148136</v>
      </c>
      <c r="F252" s="33">
        <v>86139.999999998487</v>
      </c>
      <c r="G252" s="33"/>
    </row>
    <row r="253" spans="1:7" x14ac:dyDescent="0.2">
      <c r="A253" s="46">
        <v>52503</v>
      </c>
      <c r="B253" s="21">
        <v>237</v>
      </c>
      <c r="C253" s="33">
        <v>695.55555555555554</v>
      </c>
      <c r="D253" s="33">
        <v>692.70916666665437</v>
      </c>
      <c r="E253" s="33">
        <v>1388.2647222222099</v>
      </c>
      <c r="F253" s="33">
        <v>85444.444444442925</v>
      </c>
      <c r="G253" s="33"/>
    </row>
    <row r="254" spans="1:7" x14ac:dyDescent="0.2">
      <c r="A254" s="46">
        <v>52533</v>
      </c>
      <c r="B254" s="21">
        <v>238</v>
      </c>
      <c r="C254" s="33">
        <v>695.55555555555554</v>
      </c>
      <c r="D254" s="33">
        <v>687.11574074072848</v>
      </c>
      <c r="E254" s="33">
        <v>1382.671296296284</v>
      </c>
      <c r="F254" s="33">
        <v>84748.888888887363</v>
      </c>
      <c r="G254" s="33"/>
    </row>
    <row r="255" spans="1:7" x14ac:dyDescent="0.2">
      <c r="A255" s="46">
        <v>52564</v>
      </c>
      <c r="B255" s="21">
        <v>239</v>
      </c>
      <c r="C255" s="33">
        <v>695.55555555555554</v>
      </c>
      <c r="D255" s="33">
        <v>681.52231481480248</v>
      </c>
      <c r="E255" s="33">
        <v>1377.0778703703581</v>
      </c>
      <c r="F255" s="33">
        <v>84053.333333331801</v>
      </c>
      <c r="G255" s="33"/>
    </row>
    <row r="256" spans="1:7" x14ac:dyDescent="0.2">
      <c r="A256" s="46">
        <v>52594</v>
      </c>
      <c r="B256" s="21">
        <v>240</v>
      </c>
      <c r="C256" s="33">
        <v>695.55555555555554</v>
      </c>
      <c r="D256" s="33">
        <v>675.92888888887649</v>
      </c>
      <c r="E256" s="33">
        <v>1371.484444444432</v>
      </c>
      <c r="F256" s="33">
        <v>83357.777777776239</v>
      </c>
      <c r="G256" s="33"/>
    </row>
    <row r="257" spans="1:7" x14ac:dyDescent="0.2">
      <c r="A257" s="46">
        <v>52625</v>
      </c>
      <c r="B257" s="21">
        <v>241</v>
      </c>
      <c r="C257" s="33">
        <v>695.55555555555554</v>
      </c>
      <c r="D257" s="33">
        <v>670.33546296295049</v>
      </c>
      <c r="E257" s="33">
        <v>1365.8910185185059</v>
      </c>
      <c r="F257" s="33">
        <v>82662.222222220676</v>
      </c>
      <c r="G257" s="33"/>
    </row>
    <row r="258" spans="1:7" x14ac:dyDescent="0.2">
      <c r="A258" s="46">
        <v>52656</v>
      </c>
      <c r="B258" s="21">
        <v>242</v>
      </c>
      <c r="C258" s="33">
        <v>695.55555555555554</v>
      </c>
      <c r="D258" s="33">
        <v>664.74203703702449</v>
      </c>
      <c r="E258" s="33">
        <v>1360.29759259258</v>
      </c>
      <c r="F258" s="33">
        <v>81966.666666665114</v>
      </c>
      <c r="G258" s="33"/>
    </row>
    <row r="259" spans="1:7" x14ac:dyDescent="0.2">
      <c r="A259" s="46">
        <v>52685</v>
      </c>
      <c r="B259" s="21">
        <v>243</v>
      </c>
      <c r="C259" s="33">
        <v>695.55555555555554</v>
      </c>
      <c r="D259" s="33">
        <v>659.1486111110986</v>
      </c>
      <c r="E259" s="33">
        <v>1354.7041666666541</v>
      </c>
      <c r="F259" s="33">
        <v>81271.111111109552</v>
      </c>
      <c r="G259" s="33"/>
    </row>
    <row r="260" spans="1:7" x14ac:dyDescent="0.2">
      <c r="A260" s="46">
        <v>52716</v>
      </c>
      <c r="B260" s="21">
        <v>244</v>
      </c>
      <c r="C260" s="33">
        <v>695.55555555555554</v>
      </c>
      <c r="D260" s="33">
        <v>653.5551851851726</v>
      </c>
      <c r="E260" s="33">
        <v>1349.110740740728</v>
      </c>
      <c r="F260" s="33">
        <v>80575.55555555399</v>
      </c>
      <c r="G260" s="33"/>
    </row>
    <row r="261" spans="1:7" x14ac:dyDescent="0.2">
      <c r="A261" s="46">
        <v>52746</v>
      </c>
      <c r="B261" s="21">
        <v>245</v>
      </c>
      <c r="C261" s="33">
        <v>695.55555555555554</v>
      </c>
      <c r="D261" s="33">
        <v>647.96175925924661</v>
      </c>
      <c r="E261" s="33">
        <v>1343.5173148148021</v>
      </c>
      <c r="F261" s="33">
        <v>79879.999999998428</v>
      </c>
      <c r="G261" s="33"/>
    </row>
    <row r="262" spans="1:7" x14ac:dyDescent="0.2">
      <c r="A262" s="46">
        <v>52777</v>
      </c>
      <c r="B262" s="21">
        <v>246</v>
      </c>
      <c r="C262" s="33">
        <v>695.55555555555554</v>
      </c>
      <c r="D262" s="33">
        <v>642.36833333332061</v>
      </c>
      <c r="E262" s="33">
        <v>1337.9238888888763</v>
      </c>
      <c r="F262" s="33">
        <v>79184.444444442866</v>
      </c>
      <c r="G262" s="33"/>
    </row>
    <row r="263" spans="1:7" x14ac:dyDescent="0.2">
      <c r="A263" s="46">
        <v>52807</v>
      </c>
      <c r="B263" s="21">
        <v>247</v>
      </c>
      <c r="C263" s="33">
        <v>695.55555555555554</v>
      </c>
      <c r="D263" s="33">
        <v>636.77490740739461</v>
      </c>
      <c r="E263" s="33">
        <v>1332.3304629629502</v>
      </c>
      <c r="F263" s="33">
        <v>78488.888888887304</v>
      </c>
      <c r="G263" s="33"/>
    </row>
    <row r="264" spans="1:7" x14ac:dyDescent="0.2">
      <c r="A264" s="46">
        <v>52838</v>
      </c>
      <c r="B264" s="21">
        <v>248</v>
      </c>
      <c r="C264" s="33">
        <v>695.55555555555554</v>
      </c>
      <c r="D264" s="33">
        <v>631.18148148146861</v>
      </c>
      <c r="E264" s="33">
        <v>1326.737037037024</v>
      </c>
      <c r="F264" s="33">
        <v>77793.333333331742</v>
      </c>
      <c r="G264" s="33"/>
    </row>
    <row r="265" spans="1:7" x14ac:dyDescent="0.2">
      <c r="A265" s="46">
        <v>52869</v>
      </c>
      <c r="B265" s="21">
        <v>249</v>
      </c>
      <c r="C265" s="33">
        <v>695.55555555555554</v>
      </c>
      <c r="D265" s="33">
        <v>625.58805555554272</v>
      </c>
      <c r="E265" s="33">
        <v>1321.1436111110984</v>
      </c>
      <c r="F265" s="33">
        <v>77097.77777777618</v>
      </c>
      <c r="G265" s="33"/>
    </row>
    <row r="266" spans="1:7" x14ac:dyDescent="0.2">
      <c r="A266" s="46">
        <v>52899</v>
      </c>
      <c r="B266" s="21">
        <v>250</v>
      </c>
      <c r="C266" s="33">
        <v>695.55555555555554</v>
      </c>
      <c r="D266" s="33">
        <v>619.99462962961672</v>
      </c>
      <c r="E266" s="33">
        <v>1315.5501851851723</v>
      </c>
      <c r="F266" s="33">
        <v>76402.222222220618</v>
      </c>
      <c r="G266" s="33"/>
    </row>
    <row r="267" spans="1:7" x14ac:dyDescent="0.2">
      <c r="A267" s="46">
        <v>52930</v>
      </c>
      <c r="B267" s="21">
        <v>251</v>
      </c>
      <c r="C267" s="33">
        <v>695.55555555555554</v>
      </c>
      <c r="D267" s="33">
        <v>614.40120370369073</v>
      </c>
      <c r="E267" s="33">
        <v>1309.9567592592462</v>
      </c>
      <c r="F267" s="33">
        <v>75706.666666665056</v>
      </c>
      <c r="G267" s="33"/>
    </row>
    <row r="268" spans="1:7" x14ac:dyDescent="0.2">
      <c r="A268" s="46">
        <v>52960</v>
      </c>
      <c r="B268" s="21">
        <v>252</v>
      </c>
      <c r="C268" s="33">
        <v>695.55555555555554</v>
      </c>
      <c r="D268" s="33">
        <v>608.80777777776473</v>
      </c>
      <c r="E268" s="33">
        <v>1304.3633333333203</v>
      </c>
      <c r="F268" s="33">
        <v>75011.111111109494</v>
      </c>
      <c r="G268" s="33"/>
    </row>
    <row r="269" spans="1:7" x14ac:dyDescent="0.2">
      <c r="A269" s="46">
        <v>52991</v>
      </c>
      <c r="B269" s="21">
        <v>253</v>
      </c>
      <c r="C269" s="33">
        <v>695.55555555555554</v>
      </c>
      <c r="D269" s="33">
        <v>603.21435185183873</v>
      </c>
      <c r="E269" s="33">
        <v>1298.7699074073944</v>
      </c>
      <c r="F269" s="33">
        <v>74315.555555553932</v>
      </c>
      <c r="G269" s="33"/>
    </row>
    <row r="270" spans="1:7" x14ac:dyDescent="0.2">
      <c r="A270" s="46">
        <v>53022</v>
      </c>
      <c r="B270" s="21">
        <v>254</v>
      </c>
      <c r="C270" s="33">
        <v>695.55555555555554</v>
      </c>
      <c r="D270" s="33">
        <v>597.62092592591284</v>
      </c>
      <c r="E270" s="33">
        <v>1293.1764814814683</v>
      </c>
      <c r="F270" s="33">
        <v>73619.99999999837</v>
      </c>
      <c r="G270" s="33"/>
    </row>
    <row r="271" spans="1:7" x14ac:dyDescent="0.2">
      <c r="A271" s="46">
        <v>53050</v>
      </c>
      <c r="B271" s="21">
        <v>255</v>
      </c>
      <c r="C271" s="33">
        <v>695.55555555555554</v>
      </c>
      <c r="D271" s="33">
        <v>592.02749999998684</v>
      </c>
      <c r="E271" s="33">
        <v>1287.5830555555424</v>
      </c>
      <c r="F271" s="33">
        <v>72924.444444442808</v>
      </c>
      <c r="G271" s="33"/>
    </row>
    <row r="272" spans="1:7" x14ac:dyDescent="0.2">
      <c r="A272" s="46">
        <v>53081</v>
      </c>
      <c r="B272" s="21">
        <v>256</v>
      </c>
      <c r="C272" s="33">
        <v>695.55555555555554</v>
      </c>
      <c r="D272" s="33">
        <v>586.43407407406085</v>
      </c>
      <c r="E272" s="33">
        <v>1281.9896296296165</v>
      </c>
      <c r="F272" s="33">
        <v>72228.888888887246</v>
      </c>
      <c r="G272" s="33"/>
    </row>
    <row r="273" spans="1:7" x14ac:dyDescent="0.2">
      <c r="A273" s="46">
        <v>53111</v>
      </c>
      <c r="B273" s="21">
        <v>257</v>
      </c>
      <c r="C273" s="33">
        <v>695.55555555555554</v>
      </c>
      <c r="D273" s="33">
        <v>580.84064814813485</v>
      </c>
      <c r="E273" s="33">
        <v>1276.3962037036904</v>
      </c>
      <c r="F273" s="33">
        <v>71533.333333331684</v>
      </c>
      <c r="G273" s="33"/>
    </row>
    <row r="274" spans="1:7" x14ac:dyDescent="0.2">
      <c r="A274" s="46">
        <v>53142</v>
      </c>
      <c r="B274" s="21">
        <v>258</v>
      </c>
      <c r="C274" s="33">
        <v>695.55555555555554</v>
      </c>
      <c r="D274" s="33">
        <v>575.24722222220885</v>
      </c>
      <c r="E274" s="33">
        <v>1270.8027777777643</v>
      </c>
      <c r="F274" s="33">
        <v>70837.777777776122</v>
      </c>
      <c r="G274" s="33"/>
    </row>
    <row r="275" spans="1:7" x14ac:dyDescent="0.2">
      <c r="A275" s="46">
        <v>53172</v>
      </c>
      <c r="B275" s="21">
        <v>259</v>
      </c>
      <c r="C275" s="33">
        <v>695.55555555555554</v>
      </c>
      <c r="D275" s="33">
        <v>569.65379629628296</v>
      </c>
      <c r="E275" s="33">
        <v>1265.2093518518386</v>
      </c>
      <c r="F275" s="33">
        <v>70142.22222222056</v>
      </c>
      <c r="G275" s="33"/>
    </row>
    <row r="276" spans="1:7" x14ac:dyDescent="0.2">
      <c r="A276" s="46">
        <v>53203</v>
      </c>
      <c r="B276" s="21">
        <v>260</v>
      </c>
      <c r="C276" s="33">
        <v>695.55555555555554</v>
      </c>
      <c r="D276" s="33">
        <v>564.06037037035696</v>
      </c>
      <c r="E276" s="33">
        <v>1259.6159259259125</v>
      </c>
      <c r="F276" s="33">
        <v>69446.666666664998</v>
      </c>
      <c r="G276" s="33"/>
    </row>
    <row r="277" spans="1:7" x14ac:dyDescent="0.2">
      <c r="A277" s="46">
        <v>53234</v>
      </c>
      <c r="B277" s="21">
        <v>261</v>
      </c>
      <c r="C277" s="33">
        <v>695.55555555555554</v>
      </c>
      <c r="D277" s="33">
        <v>558.46694444443096</v>
      </c>
      <c r="E277" s="33">
        <v>1254.0224999999864</v>
      </c>
      <c r="F277" s="33">
        <v>68751.111111109436</v>
      </c>
      <c r="G277" s="33"/>
    </row>
    <row r="278" spans="1:7" x14ac:dyDescent="0.2">
      <c r="A278" s="46">
        <v>53264</v>
      </c>
      <c r="B278" s="21">
        <v>262</v>
      </c>
      <c r="C278" s="33">
        <v>695.55555555555554</v>
      </c>
      <c r="D278" s="33">
        <v>552.87351851850497</v>
      </c>
      <c r="E278" s="33">
        <v>1248.4290740740605</v>
      </c>
      <c r="F278" s="33">
        <v>68055.555555553874</v>
      </c>
      <c r="G278" s="33"/>
    </row>
    <row r="279" spans="1:7" x14ac:dyDescent="0.2">
      <c r="A279" s="46">
        <v>53295</v>
      </c>
      <c r="B279" s="21">
        <v>263</v>
      </c>
      <c r="C279" s="33">
        <v>695.55555555555554</v>
      </c>
      <c r="D279" s="33">
        <v>547.28009259257897</v>
      </c>
      <c r="E279" s="33">
        <v>1242.8356481481346</v>
      </c>
      <c r="F279" s="33">
        <v>67359.999999998312</v>
      </c>
      <c r="G279" s="33"/>
    </row>
    <row r="280" spans="1:7" x14ac:dyDescent="0.2">
      <c r="A280" s="46">
        <v>53325</v>
      </c>
      <c r="B280" s="21">
        <v>264</v>
      </c>
      <c r="C280" s="33">
        <v>695.55555555555554</v>
      </c>
      <c r="D280" s="33">
        <v>541.68666666665308</v>
      </c>
      <c r="E280" s="33">
        <v>1237.2422222222085</v>
      </c>
      <c r="F280" s="33">
        <v>66664.44444444275</v>
      </c>
      <c r="G280" s="33"/>
    </row>
    <row r="281" spans="1:7" x14ac:dyDescent="0.2">
      <c r="A281" s="46">
        <v>53356</v>
      </c>
      <c r="B281" s="21">
        <v>265</v>
      </c>
      <c r="C281" s="33">
        <v>695.55555555555554</v>
      </c>
      <c r="D281" s="33">
        <v>536.09324074072708</v>
      </c>
      <c r="E281" s="33">
        <v>1231.6487962962826</v>
      </c>
      <c r="F281" s="33">
        <v>65968.888888887188</v>
      </c>
      <c r="G281" s="33"/>
    </row>
    <row r="282" spans="1:7" x14ac:dyDescent="0.2">
      <c r="A282" s="46">
        <v>53387</v>
      </c>
      <c r="B282" s="21">
        <v>266</v>
      </c>
      <c r="C282" s="33">
        <v>695.55555555555554</v>
      </c>
      <c r="D282" s="33">
        <v>530.49981481480108</v>
      </c>
      <c r="E282" s="33">
        <v>1226.0553703703567</v>
      </c>
      <c r="F282" s="33">
        <v>65273.333333331633</v>
      </c>
      <c r="G282" s="33"/>
    </row>
    <row r="283" spans="1:7" x14ac:dyDescent="0.2">
      <c r="A283" s="46">
        <v>53415</v>
      </c>
      <c r="B283" s="21">
        <v>267</v>
      </c>
      <c r="C283" s="33">
        <v>695.55555555555554</v>
      </c>
      <c r="D283" s="33">
        <v>524.9063888888752</v>
      </c>
      <c r="E283" s="33">
        <v>1220.4619444444306</v>
      </c>
      <c r="F283" s="33">
        <v>64577.777777776078</v>
      </c>
      <c r="G283" s="33"/>
    </row>
    <row r="284" spans="1:7" x14ac:dyDescent="0.2">
      <c r="A284" s="46">
        <v>53446</v>
      </c>
      <c r="B284" s="21">
        <v>268</v>
      </c>
      <c r="C284" s="33">
        <v>695.55555555555554</v>
      </c>
      <c r="D284" s="33">
        <v>519.3129629629492</v>
      </c>
      <c r="E284" s="33">
        <v>1214.8685185185047</v>
      </c>
      <c r="F284" s="33">
        <v>63882.222222220524</v>
      </c>
      <c r="G284" s="33"/>
    </row>
    <row r="285" spans="1:7" x14ac:dyDescent="0.2">
      <c r="A285" s="46">
        <v>53476</v>
      </c>
      <c r="B285" s="21">
        <v>269</v>
      </c>
      <c r="C285" s="33">
        <v>695.55555555555554</v>
      </c>
      <c r="D285" s="33">
        <v>513.71953703702331</v>
      </c>
      <c r="E285" s="33">
        <v>1209.2750925925789</v>
      </c>
      <c r="F285" s="33">
        <v>63186.666666664969</v>
      </c>
      <c r="G285" s="33"/>
    </row>
    <row r="286" spans="1:7" x14ac:dyDescent="0.2">
      <c r="A286" s="46">
        <v>53507</v>
      </c>
      <c r="B286" s="21">
        <v>270</v>
      </c>
      <c r="C286" s="33">
        <v>695.55555555555554</v>
      </c>
      <c r="D286" s="33">
        <v>508.12611111109737</v>
      </c>
      <c r="E286" s="33">
        <v>1203.681666666653</v>
      </c>
      <c r="F286" s="33">
        <v>62491.111111109414</v>
      </c>
      <c r="G286" s="33"/>
    </row>
    <row r="287" spans="1:7" x14ac:dyDescent="0.2">
      <c r="A287" s="46">
        <v>53537</v>
      </c>
      <c r="B287" s="21">
        <v>271</v>
      </c>
      <c r="C287" s="33">
        <v>695.55555555555554</v>
      </c>
      <c r="D287" s="33">
        <v>502.53268518517149</v>
      </c>
      <c r="E287" s="33">
        <v>1198.0882407407271</v>
      </c>
      <c r="F287" s="33">
        <v>61795.555555553859</v>
      </c>
      <c r="G287" s="33"/>
    </row>
    <row r="288" spans="1:7" x14ac:dyDescent="0.2">
      <c r="A288" s="46">
        <v>53568</v>
      </c>
      <c r="B288" s="21">
        <v>272</v>
      </c>
      <c r="C288" s="33">
        <v>695.55555555555554</v>
      </c>
      <c r="D288" s="33">
        <v>496.93925925924555</v>
      </c>
      <c r="E288" s="33">
        <v>1192.494814814801</v>
      </c>
      <c r="F288" s="33">
        <v>61099.999999998305</v>
      </c>
      <c r="G288" s="33"/>
    </row>
    <row r="289" spans="1:7" x14ac:dyDescent="0.2">
      <c r="A289" s="46">
        <v>53599</v>
      </c>
      <c r="B289" s="21">
        <v>273</v>
      </c>
      <c r="C289" s="33">
        <v>695.55555555555554</v>
      </c>
      <c r="D289" s="33">
        <v>491.34583333331966</v>
      </c>
      <c r="E289" s="33">
        <v>1186.9013888888753</v>
      </c>
      <c r="F289" s="33">
        <v>60404.44444444275</v>
      </c>
      <c r="G289" s="33"/>
    </row>
    <row r="290" spans="1:7" x14ac:dyDescent="0.2">
      <c r="A290" s="46">
        <v>53629</v>
      </c>
      <c r="B290" s="21">
        <v>274</v>
      </c>
      <c r="C290" s="33">
        <v>695.55555555555554</v>
      </c>
      <c r="D290" s="33">
        <v>485.75240740739372</v>
      </c>
      <c r="E290" s="33">
        <v>1181.3079629629492</v>
      </c>
      <c r="F290" s="33">
        <v>59708.888888887195</v>
      </c>
      <c r="G290" s="33"/>
    </row>
    <row r="291" spans="1:7" x14ac:dyDescent="0.2">
      <c r="A291" s="46">
        <v>53660</v>
      </c>
      <c r="B291" s="21">
        <v>275</v>
      </c>
      <c r="C291" s="33">
        <v>695.55555555555554</v>
      </c>
      <c r="D291" s="33">
        <v>480.15898148146778</v>
      </c>
      <c r="E291" s="33">
        <v>1175.7145370370233</v>
      </c>
      <c r="F291" s="33">
        <v>59013.33333333164</v>
      </c>
      <c r="G291" s="33"/>
    </row>
    <row r="292" spans="1:7" x14ac:dyDescent="0.2">
      <c r="A292" s="46">
        <v>53690</v>
      </c>
      <c r="B292" s="21">
        <v>276</v>
      </c>
      <c r="C292" s="33">
        <v>695.55555555555554</v>
      </c>
      <c r="D292" s="33">
        <v>474.56555555554189</v>
      </c>
      <c r="E292" s="33">
        <v>1170.1211111110974</v>
      </c>
      <c r="F292" s="33">
        <v>58317.777777776086</v>
      </c>
      <c r="G292" s="33"/>
    </row>
    <row r="293" spans="1:7" x14ac:dyDescent="0.2">
      <c r="A293" s="46">
        <v>53721</v>
      </c>
      <c r="B293" s="21">
        <v>277</v>
      </c>
      <c r="C293" s="33">
        <v>695.55555555555554</v>
      </c>
      <c r="D293" s="33">
        <v>468.97212962961595</v>
      </c>
      <c r="E293" s="33">
        <v>1164.5276851851715</v>
      </c>
      <c r="F293" s="33">
        <v>57622.222222220531</v>
      </c>
      <c r="G293" s="33"/>
    </row>
    <row r="294" spans="1:7" x14ac:dyDescent="0.2">
      <c r="A294" s="46">
        <v>53752</v>
      </c>
      <c r="B294" s="21">
        <v>278</v>
      </c>
      <c r="C294" s="33">
        <v>695.55555555555554</v>
      </c>
      <c r="D294" s="33">
        <v>463.37870370369006</v>
      </c>
      <c r="E294" s="33">
        <v>1158.9342592592457</v>
      </c>
      <c r="F294" s="33">
        <v>56926.666666664976</v>
      </c>
      <c r="G294" s="33"/>
    </row>
    <row r="295" spans="1:7" x14ac:dyDescent="0.2">
      <c r="A295" s="46">
        <v>53780</v>
      </c>
      <c r="B295" s="21">
        <v>279</v>
      </c>
      <c r="C295" s="33">
        <v>695.55555555555554</v>
      </c>
      <c r="D295" s="33">
        <v>457.78527777776412</v>
      </c>
      <c r="E295" s="33">
        <v>1153.3408333333196</v>
      </c>
      <c r="F295" s="33">
        <v>56231.111111109421</v>
      </c>
      <c r="G295" s="33"/>
    </row>
    <row r="296" spans="1:7" x14ac:dyDescent="0.2">
      <c r="A296" s="46">
        <v>53811</v>
      </c>
      <c r="B296" s="21">
        <v>280</v>
      </c>
      <c r="C296" s="33">
        <v>695.55555555555554</v>
      </c>
      <c r="D296" s="33">
        <v>452.19185185183824</v>
      </c>
      <c r="E296" s="33">
        <v>1147.7474074073939</v>
      </c>
      <c r="F296" s="33">
        <v>55535.555555553867</v>
      </c>
      <c r="G296" s="33"/>
    </row>
    <row r="297" spans="1:7" x14ac:dyDescent="0.2">
      <c r="A297" s="46">
        <v>53841</v>
      </c>
      <c r="B297" s="21">
        <v>281</v>
      </c>
      <c r="C297" s="33">
        <v>695.55555555555554</v>
      </c>
      <c r="D297" s="33">
        <v>446.5984259259123</v>
      </c>
      <c r="E297" s="33">
        <v>1142.1539814814678</v>
      </c>
      <c r="F297" s="33">
        <v>54839.999999998312</v>
      </c>
      <c r="G297" s="33"/>
    </row>
    <row r="298" spans="1:7" x14ac:dyDescent="0.2">
      <c r="A298" s="46">
        <v>53872</v>
      </c>
      <c r="B298" s="21">
        <v>282</v>
      </c>
      <c r="C298" s="33">
        <v>695.55555555555554</v>
      </c>
      <c r="D298" s="33">
        <v>441.00499999998635</v>
      </c>
      <c r="E298" s="33">
        <v>1136.5605555555419</v>
      </c>
      <c r="F298" s="33">
        <v>54144.444444442757</v>
      </c>
      <c r="G298" s="33"/>
    </row>
    <row r="299" spans="1:7" x14ac:dyDescent="0.2">
      <c r="A299" s="46">
        <v>53902</v>
      </c>
      <c r="B299" s="21">
        <v>283</v>
      </c>
      <c r="C299" s="33">
        <v>695.55555555555554</v>
      </c>
      <c r="D299" s="33">
        <v>435.41157407406047</v>
      </c>
      <c r="E299" s="33">
        <v>1130.967129629616</v>
      </c>
      <c r="F299" s="33">
        <v>53448.888888887202</v>
      </c>
      <c r="G299" s="33"/>
    </row>
    <row r="300" spans="1:7" x14ac:dyDescent="0.2">
      <c r="A300" s="46">
        <v>53933</v>
      </c>
      <c r="B300" s="21">
        <v>284</v>
      </c>
      <c r="C300" s="33">
        <v>695.55555555555554</v>
      </c>
      <c r="D300" s="33">
        <v>429.81814814813453</v>
      </c>
      <c r="E300" s="33">
        <v>1125.3737037036901</v>
      </c>
      <c r="F300" s="33">
        <v>52753.333333331648</v>
      </c>
      <c r="G300" s="33"/>
    </row>
    <row r="301" spans="1:7" x14ac:dyDescent="0.2">
      <c r="A301" s="46">
        <v>53964</v>
      </c>
      <c r="B301" s="21">
        <v>285</v>
      </c>
      <c r="C301" s="33">
        <v>695.55555555555554</v>
      </c>
      <c r="D301" s="33">
        <v>424.22472222220864</v>
      </c>
      <c r="E301" s="33">
        <v>1119.7802777777642</v>
      </c>
      <c r="F301" s="33">
        <v>52057.777777776093</v>
      </c>
      <c r="G301" s="33"/>
    </row>
    <row r="302" spans="1:7" x14ac:dyDescent="0.2">
      <c r="A302" s="46">
        <v>53994</v>
      </c>
      <c r="B302" s="21">
        <v>286</v>
      </c>
      <c r="C302" s="33">
        <v>695.55555555555554</v>
      </c>
      <c r="D302" s="33">
        <v>418.6312962962827</v>
      </c>
      <c r="E302" s="33">
        <v>1114.1868518518381</v>
      </c>
      <c r="F302" s="33">
        <v>51362.222222220538</v>
      </c>
      <c r="G302" s="33"/>
    </row>
    <row r="303" spans="1:7" x14ac:dyDescent="0.2">
      <c r="A303" s="46">
        <v>54025</v>
      </c>
      <c r="B303" s="21">
        <v>287</v>
      </c>
      <c r="C303" s="33">
        <v>695.55555555555554</v>
      </c>
      <c r="D303" s="33">
        <v>413.03787037035676</v>
      </c>
      <c r="E303" s="33">
        <v>1108.5934259259122</v>
      </c>
      <c r="F303" s="33">
        <v>50666.666666664983</v>
      </c>
      <c r="G303" s="33"/>
    </row>
    <row r="304" spans="1:7" x14ac:dyDescent="0.2">
      <c r="A304" s="46">
        <v>54055</v>
      </c>
      <c r="B304" s="21">
        <v>288</v>
      </c>
      <c r="C304" s="33">
        <v>695.55555555555554</v>
      </c>
      <c r="D304" s="33">
        <v>407.44444444443087</v>
      </c>
      <c r="E304" s="33">
        <v>1102.9999999999864</v>
      </c>
      <c r="F304" s="33">
        <v>49971.111111109429</v>
      </c>
      <c r="G304" s="33"/>
    </row>
    <row r="305" spans="1:7" x14ac:dyDescent="0.2">
      <c r="A305" s="46">
        <v>54086</v>
      </c>
      <c r="B305" s="21">
        <v>289</v>
      </c>
      <c r="C305" s="33">
        <v>695.55555555555554</v>
      </c>
      <c r="D305" s="33">
        <v>401.85101851850493</v>
      </c>
      <c r="E305" s="33">
        <v>1097.4065740740605</v>
      </c>
      <c r="F305" s="33">
        <v>49275.555555553874</v>
      </c>
      <c r="G305" s="33"/>
    </row>
    <row r="306" spans="1:7" x14ac:dyDescent="0.2">
      <c r="A306" s="46">
        <v>54117</v>
      </c>
      <c r="B306" s="21">
        <v>290</v>
      </c>
      <c r="C306" s="33">
        <v>695.55555555555554</v>
      </c>
      <c r="D306" s="33">
        <v>396.25759259257904</v>
      </c>
      <c r="E306" s="33">
        <v>1091.8131481481346</v>
      </c>
      <c r="F306" s="33">
        <v>48579.999999998319</v>
      </c>
      <c r="G306" s="33"/>
    </row>
    <row r="307" spans="1:7" x14ac:dyDescent="0.2">
      <c r="A307" s="46">
        <v>54146</v>
      </c>
      <c r="B307" s="21">
        <v>291</v>
      </c>
      <c r="C307" s="33">
        <v>695.55555555555554</v>
      </c>
      <c r="D307" s="33">
        <v>390.6641666666531</v>
      </c>
      <c r="E307" s="33">
        <v>1086.2197222222087</v>
      </c>
      <c r="F307" s="33">
        <v>47884.444444442765</v>
      </c>
      <c r="G307" s="33"/>
    </row>
    <row r="308" spans="1:7" x14ac:dyDescent="0.2">
      <c r="A308" s="46">
        <v>54177</v>
      </c>
      <c r="B308" s="21">
        <v>292</v>
      </c>
      <c r="C308" s="33">
        <v>695.55555555555554</v>
      </c>
      <c r="D308" s="33">
        <v>385.07074074072716</v>
      </c>
      <c r="E308" s="33">
        <v>1080.6262962962828</v>
      </c>
      <c r="F308" s="33">
        <v>47188.88888888721</v>
      </c>
      <c r="G308" s="33"/>
    </row>
    <row r="309" spans="1:7" x14ac:dyDescent="0.2">
      <c r="A309" s="46">
        <v>54207</v>
      </c>
      <c r="B309" s="21">
        <v>293</v>
      </c>
      <c r="C309" s="33">
        <v>695.55555555555554</v>
      </c>
      <c r="D309" s="33">
        <v>379.47731481480128</v>
      </c>
      <c r="E309" s="33">
        <v>1075.0328703703567</v>
      </c>
      <c r="F309" s="33">
        <v>46493.333333331655</v>
      </c>
      <c r="G309" s="33"/>
    </row>
    <row r="310" spans="1:7" x14ac:dyDescent="0.2">
      <c r="A310" s="46">
        <v>54238</v>
      </c>
      <c r="B310" s="21">
        <v>294</v>
      </c>
      <c r="C310" s="33">
        <v>695.55555555555554</v>
      </c>
      <c r="D310" s="33">
        <v>373.88388888887533</v>
      </c>
      <c r="E310" s="33">
        <v>1069.4394444444308</v>
      </c>
      <c r="F310" s="33">
        <v>45797.7777777761</v>
      </c>
      <c r="G310" s="33"/>
    </row>
    <row r="311" spans="1:7" x14ac:dyDescent="0.2">
      <c r="A311" s="46">
        <v>54268</v>
      </c>
      <c r="B311" s="21">
        <v>295</v>
      </c>
      <c r="C311" s="33">
        <v>695.55555555555554</v>
      </c>
      <c r="D311" s="33">
        <v>368.29046296294945</v>
      </c>
      <c r="E311" s="33">
        <v>1063.8460185185049</v>
      </c>
      <c r="F311" s="33">
        <v>45102.222222220546</v>
      </c>
      <c r="G311" s="33"/>
    </row>
    <row r="312" spans="1:7" x14ac:dyDescent="0.2">
      <c r="A312" s="46">
        <v>54299</v>
      </c>
      <c r="B312" s="21">
        <v>296</v>
      </c>
      <c r="C312" s="33">
        <v>695.55555555555554</v>
      </c>
      <c r="D312" s="33">
        <v>362.69703703702351</v>
      </c>
      <c r="E312" s="33">
        <v>1058.252592592579</v>
      </c>
      <c r="F312" s="33">
        <v>44406.666666664991</v>
      </c>
      <c r="G312" s="33"/>
    </row>
    <row r="313" spans="1:7" x14ac:dyDescent="0.2">
      <c r="A313" s="46">
        <v>54330</v>
      </c>
      <c r="B313" s="21">
        <v>297</v>
      </c>
      <c r="C313" s="33">
        <v>695.55555555555554</v>
      </c>
      <c r="D313" s="33">
        <v>357.10361111109756</v>
      </c>
      <c r="E313" s="33">
        <v>1052.6591666666532</v>
      </c>
      <c r="F313" s="33">
        <v>43711.111111109436</v>
      </c>
      <c r="G313" s="33"/>
    </row>
    <row r="314" spans="1:7" x14ac:dyDescent="0.2">
      <c r="A314" s="46">
        <v>54360</v>
      </c>
      <c r="B314" s="21">
        <v>298</v>
      </c>
      <c r="C314" s="33">
        <v>695.55555555555554</v>
      </c>
      <c r="D314" s="33">
        <v>351.51018518517168</v>
      </c>
      <c r="E314" s="33">
        <v>1047.0657407407273</v>
      </c>
      <c r="F314" s="33">
        <v>43015.555555553881</v>
      </c>
      <c r="G314" s="33"/>
    </row>
    <row r="315" spans="1:7" x14ac:dyDescent="0.2">
      <c r="A315" s="46">
        <v>54391</v>
      </c>
      <c r="B315" s="21">
        <v>299</v>
      </c>
      <c r="C315" s="33">
        <v>695.55555555555554</v>
      </c>
      <c r="D315" s="33">
        <v>345.91675925924574</v>
      </c>
      <c r="E315" s="33">
        <v>1041.4723148148014</v>
      </c>
      <c r="F315" s="33">
        <v>42319.999999998327</v>
      </c>
      <c r="G315" s="33"/>
    </row>
    <row r="316" spans="1:7" x14ac:dyDescent="0.2">
      <c r="A316" s="46">
        <v>54421</v>
      </c>
      <c r="B316" s="21">
        <v>300</v>
      </c>
      <c r="C316" s="33">
        <v>695.55555555555554</v>
      </c>
      <c r="D316" s="33">
        <v>340.32333333331985</v>
      </c>
      <c r="E316" s="33">
        <v>1035.8788888888753</v>
      </c>
      <c r="F316" s="33">
        <v>41624.444444442772</v>
      </c>
      <c r="G316" s="33"/>
    </row>
    <row r="317" spans="1:7" x14ac:dyDescent="0.2">
      <c r="A317" s="46">
        <v>54452</v>
      </c>
      <c r="B317" s="21">
        <v>301</v>
      </c>
      <c r="C317" s="33">
        <v>695.55555555555554</v>
      </c>
      <c r="D317" s="33">
        <v>334.72990740739391</v>
      </c>
      <c r="E317" s="33">
        <v>1030.2854629629494</v>
      </c>
      <c r="F317" s="33">
        <v>40928.888888887217</v>
      </c>
      <c r="G317" s="33"/>
    </row>
    <row r="318" spans="1:7" x14ac:dyDescent="0.2">
      <c r="A318" s="46">
        <v>54483</v>
      </c>
      <c r="B318" s="21">
        <v>302</v>
      </c>
      <c r="C318" s="33">
        <v>695.55555555555554</v>
      </c>
      <c r="D318" s="33">
        <v>329.13648148146802</v>
      </c>
      <c r="E318" s="33">
        <v>1024.6920370370235</v>
      </c>
      <c r="F318" s="33">
        <v>40233.333333331662</v>
      </c>
      <c r="G318" s="33"/>
    </row>
    <row r="319" spans="1:7" x14ac:dyDescent="0.2">
      <c r="A319" s="46">
        <v>54511</v>
      </c>
      <c r="B319" s="21">
        <v>303</v>
      </c>
      <c r="C319" s="33">
        <v>695.55555555555554</v>
      </c>
      <c r="D319" s="33">
        <v>323.54305555554208</v>
      </c>
      <c r="E319" s="33">
        <v>1019.0986111110976</v>
      </c>
      <c r="F319" s="33">
        <v>39537.777777776108</v>
      </c>
      <c r="G319" s="33"/>
    </row>
    <row r="320" spans="1:7" x14ac:dyDescent="0.2">
      <c r="A320" s="46">
        <v>54542</v>
      </c>
      <c r="B320" s="21">
        <v>304</v>
      </c>
      <c r="C320" s="33">
        <v>695.55555555555554</v>
      </c>
      <c r="D320" s="33">
        <v>317.94962962961614</v>
      </c>
      <c r="E320" s="33">
        <v>1013.5051851851717</v>
      </c>
      <c r="F320" s="33">
        <v>38842.222222220553</v>
      </c>
      <c r="G320" s="33"/>
    </row>
    <row r="321" spans="1:7" x14ac:dyDescent="0.2">
      <c r="A321" s="46">
        <v>54572</v>
      </c>
      <c r="B321" s="21">
        <v>305</v>
      </c>
      <c r="C321" s="33">
        <v>695.55555555555554</v>
      </c>
      <c r="D321" s="33">
        <v>312.35620370369026</v>
      </c>
      <c r="E321" s="33">
        <v>1007.9117592592459</v>
      </c>
      <c r="F321" s="33">
        <v>38146.666666664998</v>
      </c>
      <c r="G321" s="33"/>
    </row>
    <row r="322" spans="1:7" x14ac:dyDescent="0.2">
      <c r="A322" s="46">
        <v>54603</v>
      </c>
      <c r="B322" s="21">
        <v>306</v>
      </c>
      <c r="C322" s="33">
        <v>695.55555555555554</v>
      </c>
      <c r="D322" s="33">
        <v>306.76277777776431</v>
      </c>
      <c r="E322" s="33">
        <v>1002.3183333333199</v>
      </c>
      <c r="F322" s="33">
        <v>37451.111111109443</v>
      </c>
      <c r="G322" s="33"/>
    </row>
    <row r="323" spans="1:7" x14ac:dyDescent="0.2">
      <c r="A323" s="46">
        <v>54633</v>
      </c>
      <c r="B323" s="21">
        <v>307</v>
      </c>
      <c r="C323" s="33">
        <v>695.55555555555554</v>
      </c>
      <c r="D323" s="33">
        <v>301.16935185183843</v>
      </c>
      <c r="E323" s="33">
        <v>996.72490740739397</v>
      </c>
      <c r="F323" s="33">
        <v>36755.555555553889</v>
      </c>
      <c r="G323" s="33"/>
    </row>
    <row r="324" spans="1:7" x14ac:dyDescent="0.2">
      <c r="A324" s="46">
        <v>54664</v>
      </c>
      <c r="B324" s="21">
        <v>308</v>
      </c>
      <c r="C324" s="33">
        <v>695.55555555555554</v>
      </c>
      <c r="D324" s="33">
        <v>295.57592592591249</v>
      </c>
      <c r="E324" s="33">
        <v>991.13148148146797</v>
      </c>
      <c r="F324" s="33">
        <v>36059.999999998334</v>
      </c>
      <c r="G324" s="33"/>
    </row>
    <row r="325" spans="1:7" x14ac:dyDescent="0.2">
      <c r="A325" s="46">
        <v>54695</v>
      </c>
      <c r="B325" s="21">
        <v>309</v>
      </c>
      <c r="C325" s="33">
        <v>695.55555555555554</v>
      </c>
      <c r="D325" s="33">
        <v>289.98249999998654</v>
      </c>
      <c r="E325" s="33">
        <v>985.53805555554209</v>
      </c>
      <c r="F325" s="33">
        <v>35364.444444442779</v>
      </c>
      <c r="G325" s="33"/>
    </row>
    <row r="326" spans="1:7" x14ac:dyDescent="0.2">
      <c r="A326" s="46">
        <v>54725</v>
      </c>
      <c r="B326" s="21">
        <v>310</v>
      </c>
      <c r="C326" s="33">
        <v>695.55555555555554</v>
      </c>
      <c r="D326" s="33">
        <v>284.38907407406066</v>
      </c>
      <c r="E326" s="33">
        <v>979.9446296296162</v>
      </c>
      <c r="F326" s="33">
        <v>34668.888888887224</v>
      </c>
      <c r="G326" s="33"/>
    </row>
    <row r="327" spans="1:7" x14ac:dyDescent="0.2">
      <c r="A327" s="46">
        <v>54756</v>
      </c>
      <c r="B327" s="21">
        <v>311</v>
      </c>
      <c r="C327" s="33">
        <v>695.55555555555554</v>
      </c>
      <c r="D327" s="33">
        <v>278.79564814813472</v>
      </c>
      <c r="E327" s="33">
        <v>974.35120370369032</v>
      </c>
      <c r="F327" s="33">
        <v>33973.33333333167</v>
      </c>
      <c r="G327" s="33"/>
    </row>
    <row r="328" spans="1:7" x14ac:dyDescent="0.2">
      <c r="A328" s="46">
        <v>54786</v>
      </c>
      <c r="B328" s="21">
        <v>312</v>
      </c>
      <c r="C328" s="33">
        <v>695.55555555555554</v>
      </c>
      <c r="D328" s="33">
        <v>273.20222222220883</v>
      </c>
      <c r="E328" s="33">
        <v>968.75777777776443</v>
      </c>
      <c r="F328" s="33">
        <v>33277.777777776115</v>
      </c>
      <c r="G328" s="33"/>
    </row>
    <row r="329" spans="1:7" x14ac:dyDescent="0.2">
      <c r="A329" s="46">
        <v>54817</v>
      </c>
      <c r="B329" s="21">
        <v>313</v>
      </c>
      <c r="C329" s="33">
        <v>695.55555555555554</v>
      </c>
      <c r="D329" s="33">
        <v>267.60879629628289</v>
      </c>
      <c r="E329" s="33">
        <v>963.16435185183843</v>
      </c>
      <c r="F329" s="33">
        <v>32582.22222222056</v>
      </c>
      <c r="G329" s="33"/>
    </row>
    <row r="330" spans="1:7" x14ac:dyDescent="0.2">
      <c r="A330" s="46">
        <v>54848</v>
      </c>
      <c r="B330" s="21">
        <v>314</v>
      </c>
      <c r="C330" s="33">
        <v>695.55555555555554</v>
      </c>
      <c r="D330" s="33">
        <v>262.01537037035695</v>
      </c>
      <c r="E330" s="33">
        <v>957.57092592591243</v>
      </c>
      <c r="F330" s="33">
        <v>31886.666666665005</v>
      </c>
      <c r="G330" s="33"/>
    </row>
    <row r="331" spans="1:7" x14ac:dyDescent="0.2">
      <c r="A331" s="46">
        <v>54876</v>
      </c>
      <c r="B331" s="21">
        <v>315</v>
      </c>
      <c r="C331" s="33">
        <v>695.55555555555554</v>
      </c>
      <c r="D331" s="33">
        <v>256.42194444443106</v>
      </c>
      <c r="E331" s="33">
        <v>951.97749999998655</v>
      </c>
      <c r="F331" s="33">
        <v>31191.111111109451</v>
      </c>
      <c r="G331" s="33"/>
    </row>
    <row r="332" spans="1:7" x14ac:dyDescent="0.2">
      <c r="A332" s="46">
        <v>54907</v>
      </c>
      <c r="B332" s="21">
        <v>316</v>
      </c>
      <c r="C332" s="33">
        <v>695.55555555555554</v>
      </c>
      <c r="D332" s="33">
        <v>250.82851851850515</v>
      </c>
      <c r="E332" s="33">
        <v>946.38407407406066</v>
      </c>
      <c r="F332" s="33">
        <v>30495.555555553896</v>
      </c>
      <c r="G332" s="33"/>
    </row>
    <row r="333" spans="1:7" x14ac:dyDescent="0.2">
      <c r="A333" s="46">
        <v>54937</v>
      </c>
      <c r="B333" s="21">
        <v>317</v>
      </c>
      <c r="C333" s="33">
        <v>695.55555555555554</v>
      </c>
      <c r="D333" s="33">
        <v>245.23509259257921</v>
      </c>
      <c r="E333" s="33">
        <v>940.79064814813478</v>
      </c>
      <c r="F333" s="33">
        <v>29799.999999998341</v>
      </c>
      <c r="G333" s="33"/>
    </row>
    <row r="334" spans="1:7" x14ac:dyDescent="0.2">
      <c r="A334" s="46">
        <v>54968</v>
      </c>
      <c r="B334" s="21">
        <v>318</v>
      </c>
      <c r="C334" s="33">
        <v>695.55555555555554</v>
      </c>
      <c r="D334" s="33">
        <v>239.64166666665329</v>
      </c>
      <c r="E334" s="33">
        <v>935.19722222220889</v>
      </c>
      <c r="F334" s="33">
        <v>29104.444444442786</v>
      </c>
      <c r="G334" s="33"/>
    </row>
    <row r="335" spans="1:7" x14ac:dyDescent="0.2">
      <c r="A335" s="46">
        <v>54998</v>
      </c>
      <c r="B335" s="21">
        <v>319</v>
      </c>
      <c r="C335" s="33">
        <v>695.55555555555554</v>
      </c>
      <c r="D335" s="33">
        <v>234.04824074072738</v>
      </c>
      <c r="E335" s="33">
        <v>929.60379629628289</v>
      </c>
      <c r="F335" s="33">
        <v>28408.888888887232</v>
      </c>
      <c r="G335" s="33"/>
    </row>
    <row r="336" spans="1:7" x14ac:dyDescent="0.2">
      <c r="A336" s="46">
        <v>55029</v>
      </c>
      <c r="B336" s="21">
        <v>320</v>
      </c>
      <c r="C336" s="33">
        <v>695.55555555555554</v>
      </c>
      <c r="D336" s="33">
        <v>228.45481481480147</v>
      </c>
      <c r="E336" s="33">
        <v>924.01037037035701</v>
      </c>
      <c r="F336" s="33">
        <v>27713.333333331677</v>
      </c>
      <c r="G336" s="33"/>
    </row>
    <row r="337" spans="1:7" x14ac:dyDescent="0.2">
      <c r="A337" s="46">
        <v>55060</v>
      </c>
      <c r="B337" s="21">
        <v>321</v>
      </c>
      <c r="C337" s="33">
        <v>695.55555555555554</v>
      </c>
      <c r="D337" s="33">
        <v>222.86138888887555</v>
      </c>
      <c r="E337" s="33">
        <v>918.41694444443112</v>
      </c>
      <c r="F337" s="33">
        <v>27017.777777776122</v>
      </c>
      <c r="G337" s="33"/>
    </row>
    <row r="338" spans="1:7" x14ac:dyDescent="0.2">
      <c r="A338" s="46">
        <v>55090</v>
      </c>
      <c r="B338" s="21">
        <v>322</v>
      </c>
      <c r="C338" s="33">
        <v>695.55555555555554</v>
      </c>
      <c r="D338" s="33">
        <v>217.26796296294961</v>
      </c>
      <c r="E338" s="33">
        <v>912.82351851850513</v>
      </c>
      <c r="F338" s="33">
        <v>26322.222222220567</v>
      </c>
      <c r="G338" s="33"/>
    </row>
    <row r="339" spans="1:7" x14ac:dyDescent="0.2">
      <c r="A339" s="46">
        <v>55121</v>
      </c>
      <c r="B339" s="21">
        <v>323</v>
      </c>
      <c r="C339" s="33">
        <v>695.55555555555554</v>
      </c>
      <c r="D339" s="33">
        <v>211.6745370370237</v>
      </c>
      <c r="E339" s="33">
        <v>907.23009259257924</v>
      </c>
      <c r="F339" s="33">
        <v>25626.666666665013</v>
      </c>
      <c r="G339" s="33"/>
    </row>
    <row r="340" spans="1:7" x14ac:dyDescent="0.2">
      <c r="A340" s="46">
        <v>55151</v>
      </c>
      <c r="B340" s="21">
        <v>324</v>
      </c>
      <c r="C340" s="33">
        <v>695.55555555555554</v>
      </c>
      <c r="D340" s="33">
        <v>206.08111111109778</v>
      </c>
      <c r="E340" s="33">
        <v>901.63666666665335</v>
      </c>
      <c r="F340" s="33">
        <v>24931.111111109458</v>
      </c>
      <c r="G340" s="33"/>
    </row>
    <row r="341" spans="1:7" x14ac:dyDescent="0.2">
      <c r="A341" s="46">
        <v>55182</v>
      </c>
      <c r="B341" s="21">
        <v>325</v>
      </c>
      <c r="C341" s="33">
        <v>695.55555555555554</v>
      </c>
      <c r="D341" s="33">
        <v>200.48768518517187</v>
      </c>
      <c r="E341" s="33">
        <v>896.04324074072747</v>
      </c>
      <c r="F341" s="33">
        <v>24235.555555553903</v>
      </c>
      <c r="G341" s="33"/>
    </row>
    <row r="342" spans="1:7" x14ac:dyDescent="0.2">
      <c r="A342" s="46">
        <v>55213</v>
      </c>
      <c r="B342" s="21">
        <v>326</v>
      </c>
      <c r="C342" s="33">
        <v>695.55555555555554</v>
      </c>
      <c r="D342" s="33">
        <v>194.89425925924596</v>
      </c>
      <c r="E342" s="33">
        <v>890.44981481480147</v>
      </c>
      <c r="F342" s="33">
        <v>23539.999999998348</v>
      </c>
      <c r="G342" s="33"/>
    </row>
    <row r="343" spans="1:7" x14ac:dyDescent="0.2">
      <c r="A343" s="46">
        <v>55241</v>
      </c>
      <c r="B343" s="21">
        <v>327</v>
      </c>
      <c r="C343" s="33">
        <v>695.55555555555554</v>
      </c>
      <c r="D343" s="33">
        <v>189.30083333332004</v>
      </c>
      <c r="E343" s="33">
        <v>884.85638888887559</v>
      </c>
      <c r="F343" s="33">
        <v>22844.444444442794</v>
      </c>
      <c r="G343" s="33"/>
    </row>
    <row r="344" spans="1:7" x14ac:dyDescent="0.2">
      <c r="A344" s="46">
        <v>55272</v>
      </c>
      <c r="B344" s="21">
        <v>328</v>
      </c>
      <c r="C344" s="33">
        <v>695.55555555555554</v>
      </c>
      <c r="D344" s="33">
        <v>183.7074074073941</v>
      </c>
      <c r="E344" s="33">
        <v>879.26296296294959</v>
      </c>
      <c r="F344" s="33">
        <v>22148.888888887239</v>
      </c>
      <c r="G344" s="33"/>
    </row>
    <row r="345" spans="1:7" x14ac:dyDescent="0.2">
      <c r="A345" s="46">
        <v>55302</v>
      </c>
      <c r="B345" s="21">
        <v>329</v>
      </c>
      <c r="C345" s="33">
        <v>695.55555555555554</v>
      </c>
      <c r="D345" s="33">
        <v>178.11398148146819</v>
      </c>
      <c r="E345" s="33">
        <v>873.6695370370237</v>
      </c>
      <c r="F345" s="33">
        <v>21453.333333331684</v>
      </c>
      <c r="G345" s="33"/>
    </row>
    <row r="346" spans="1:7" x14ac:dyDescent="0.2">
      <c r="A346" s="46">
        <v>55333</v>
      </c>
      <c r="B346" s="21">
        <v>330</v>
      </c>
      <c r="C346" s="33">
        <v>695.55555555555554</v>
      </c>
      <c r="D346" s="33">
        <v>172.52055555554227</v>
      </c>
      <c r="E346" s="33">
        <v>868.07611111109782</v>
      </c>
      <c r="F346" s="33">
        <v>20757.777777776129</v>
      </c>
      <c r="G346" s="33"/>
    </row>
    <row r="347" spans="1:7" x14ac:dyDescent="0.2">
      <c r="A347" s="46">
        <v>55363</v>
      </c>
      <c r="B347" s="21">
        <v>331</v>
      </c>
      <c r="C347" s="33">
        <v>695.55555555555554</v>
      </c>
      <c r="D347" s="33">
        <v>166.92712962961636</v>
      </c>
      <c r="E347" s="33">
        <v>862.48268518517193</v>
      </c>
      <c r="F347" s="33">
        <v>20062.222222220575</v>
      </c>
      <c r="G347" s="33"/>
    </row>
    <row r="348" spans="1:7" x14ac:dyDescent="0.2">
      <c r="A348" s="46">
        <v>55394</v>
      </c>
      <c r="B348" s="21">
        <v>332</v>
      </c>
      <c r="C348" s="33">
        <v>695.55555555555554</v>
      </c>
      <c r="D348" s="33">
        <v>161.33370370369045</v>
      </c>
      <c r="E348" s="33">
        <v>856.88925925924605</v>
      </c>
      <c r="F348" s="33">
        <v>19366.66666666502</v>
      </c>
      <c r="G348" s="33"/>
    </row>
    <row r="349" spans="1:7" x14ac:dyDescent="0.2">
      <c r="A349" s="46">
        <v>55425</v>
      </c>
      <c r="B349" s="21">
        <v>333</v>
      </c>
      <c r="C349" s="33">
        <v>695.55555555555554</v>
      </c>
      <c r="D349" s="33">
        <v>155.7402777777645</v>
      </c>
      <c r="E349" s="33">
        <v>851.29583333332005</v>
      </c>
      <c r="F349" s="33">
        <v>18671.111111109465</v>
      </c>
      <c r="G349" s="33"/>
    </row>
    <row r="350" spans="1:7" x14ac:dyDescent="0.2">
      <c r="A350" s="46">
        <v>55455</v>
      </c>
      <c r="B350" s="21">
        <v>334</v>
      </c>
      <c r="C350" s="33">
        <v>695.55555555555554</v>
      </c>
      <c r="D350" s="33">
        <v>150.14685185183859</v>
      </c>
      <c r="E350" s="33">
        <v>845.70240740739416</v>
      </c>
      <c r="F350" s="33">
        <v>17975.55555555391</v>
      </c>
      <c r="G350" s="33"/>
    </row>
    <row r="351" spans="1:7" x14ac:dyDescent="0.2">
      <c r="A351" s="46">
        <v>55486</v>
      </c>
      <c r="B351" s="21">
        <v>335</v>
      </c>
      <c r="C351" s="33">
        <v>695.55555555555554</v>
      </c>
      <c r="D351" s="33">
        <v>144.55342592591268</v>
      </c>
      <c r="E351" s="33">
        <v>840.10898148146816</v>
      </c>
      <c r="F351" s="33">
        <v>17279.999999998356</v>
      </c>
      <c r="G351" s="33"/>
    </row>
    <row r="352" spans="1:7" x14ac:dyDescent="0.2">
      <c r="A352" s="46">
        <v>55516</v>
      </c>
      <c r="B352" s="21">
        <v>336</v>
      </c>
      <c r="C352" s="33">
        <v>695.55555555555554</v>
      </c>
      <c r="D352" s="33">
        <v>138.95999999998676</v>
      </c>
      <c r="E352" s="33">
        <v>834.51555555554228</v>
      </c>
      <c r="F352" s="33">
        <v>16584.444444442801</v>
      </c>
      <c r="G352" s="33"/>
    </row>
    <row r="353" spans="1:7" x14ac:dyDescent="0.2">
      <c r="A353" s="46">
        <v>55547</v>
      </c>
      <c r="B353" s="21">
        <v>337</v>
      </c>
      <c r="C353" s="33">
        <v>695.55555555555554</v>
      </c>
      <c r="D353" s="33">
        <v>133.36657407406085</v>
      </c>
      <c r="E353" s="33">
        <v>828.92212962961639</v>
      </c>
      <c r="F353" s="33">
        <v>15888.888888887246</v>
      </c>
      <c r="G353" s="33"/>
    </row>
    <row r="354" spans="1:7" x14ac:dyDescent="0.2">
      <c r="A354" s="46">
        <v>55578</v>
      </c>
      <c r="B354" s="21">
        <v>338</v>
      </c>
      <c r="C354" s="33">
        <v>695.55555555555554</v>
      </c>
      <c r="D354" s="33">
        <v>127.77314814813492</v>
      </c>
      <c r="E354" s="33">
        <v>823.32870370369051</v>
      </c>
      <c r="F354" s="33">
        <v>15193.333333331691</v>
      </c>
      <c r="G354" s="33"/>
    </row>
    <row r="355" spans="1:7" x14ac:dyDescent="0.2">
      <c r="A355" s="46">
        <v>55607</v>
      </c>
      <c r="B355" s="21">
        <v>339</v>
      </c>
      <c r="C355" s="33">
        <v>695.55555555555554</v>
      </c>
      <c r="D355" s="33">
        <v>122.17972222220901</v>
      </c>
      <c r="E355" s="33">
        <v>817.73527777776451</v>
      </c>
      <c r="F355" s="33">
        <v>14497.777777776137</v>
      </c>
      <c r="G355" s="33"/>
    </row>
    <row r="356" spans="1:7" x14ac:dyDescent="0.2">
      <c r="A356" s="46">
        <v>55638</v>
      </c>
      <c r="B356" s="21">
        <v>340</v>
      </c>
      <c r="C356" s="33">
        <v>695.55555555555554</v>
      </c>
      <c r="D356" s="33">
        <v>116.58629629628308</v>
      </c>
      <c r="E356" s="33">
        <v>812.14185185183862</v>
      </c>
      <c r="F356" s="33">
        <v>13802.222222220582</v>
      </c>
      <c r="G356" s="33"/>
    </row>
    <row r="357" spans="1:7" x14ac:dyDescent="0.2">
      <c r="A357" s="46">
        <v>55668</v>
      </c>
      <c r="B357" s="21">
        <v>341</v>
      </c>
      <c r="C357" s="33">
        <v>695.55555555555554</v>
      </c>
      <c r="D357" s="33">
        <v>110.99287037035717</v>
      </c>
      <c r="E357" s="33">
        <v>806.54842592591274</v>
      </c>
      <c r="F357" s="33">
        <v>13106.666666665027</v>
      </c>
      <c r="G357" s="33"/>
    </row>
    <row r="358" spans="1:7" x14ac:dyDescent="0.2">
      <c r="A358" s="46">
        <v>55699</v>
      </c>
      <c r="B358" s="21">
        <v>342</v>
      </c>
      <c r="C358" s="33">
        <v>695.55555555555554</v>
      </c>
      <c r="D358" s="33">
        <v>105.39944444443125</v>
      </c>
      <c r="E358" s="33">
        <v>800.95499999998674</v>
      </c>
      <c r="F358" s="33">
        <v>12411.111111109472</v>
      </c>
      <c r="G358" s="33"/>
    </row>
    <row r="359" spans="1:7" x14ac:dyDescent="0.2">
      <c r="A359" s="46">
        <v>55729</v>
      </c>
      <c r="B359" s="21">
        <v>343</v>
      </c>
      <c r="C359" s="33">
        <v>695.55555555555554</v>
      </c>
      <c r="D359" s="33">
        <v>99.806018518505326</v>
      </c>
      <c r="E359" s="33">
        <v>795.36157407406085</v>
      </c>
      <c r="F359" s="33">
        <v>11715.555555553918</v>
      </c>
      <c r="G359" s="33"/>
    </row>
    <row r="360" spans="1:7" x14ac:dyDescent="0.2">
      <c r="A360" s="46">
        <v>55760</v>
      </c>
      <c r="B360" s="21">
        <v>344</v>
      </c>
      <c r="C360" s="33">
        <v>695.55555555555554</v>
      </c>
      <c r="D360" s="33">
        <v>94.212592592579412</v>
      </c>
      <c r="E360" s="33">
        <v>789.76814814813497</v>
      </c>
      <c r="F360" s="33">
        <v>11019.999999998363</v>
      </c>
      <c r="G360" s="33"/>
    </row>
    <row r="361" spans="1:7" x14ac:dyDescent="0.2">
      <c r="A361" s="46">
        <v>55791</v>
      </c>
      <c r="B361" s="21">
        <v>345</v>
      </c>
      <c r="C361" s="33">
        <v>695.55555555555554</v>
      </c>
      <c r="D361" s="33">
        <v>88.619166666653484</v>
      </c>
      <c r="E361" s="33">
        <v>784.17472222220908</v>
      </c>
      <c r="F361" s="33">
        <v>10324.444444442808</v>
      </c>
      <c r="G361" s="33"/>
    </row>
    <row r="362" spans="1:7" x14ac:dyDescent="0.2">
      <c r="A362" s="46">
        <v>55821</v>
      </c>
      <c r="B362" s="21">
        <v>346</v>
      </c>
      <c r="C362" s="33">
        <v>695.55555555555554</v>
      </c>
      <c r="D362" s="33">
        <v>83.025740740727571</v>
      </c>
      <c r="E362" s="33">
        <v>778.58129629628309</v>
      </c>
      <c r="F362" s="33">
        <v>9628.8888888872534</v>
      </c>
      <c r="G362" s="33"/>
    </row>
    <row r="363" spans="1:7" x14ac:dyDescent="0.2">
      <c r="A363" s="46">
        <v>55852</v>
      </c>
      <c r="B363" s="21">
        <v>347</v>
      </c>
      <c r="C363" s="33">
        <v>695.55555555555554</v>
      </c>
      <c r="D363" s="33">
        <v>77.432314814801657</v>
      </c>
      <c r="E363" s="33">
        <v>772.9878703703572</v>
      </c>
      <c r="F363" s="33">
        <v>8933.3333333316987</v>
      </c>
      <c r="G363" s="33"/>
    </row>
    <row r="364" spans="1:7" x14ac:dyDescent="0.2">
      <c r="A364" s="46">
        <v>55882</v>
      </c>
      <c r="B364" s="21">
        <v>348</v>
      </c>
      <c r="C364" s="33">
        <v>695.55555555555554</v>
      </c>
      <c r="D364" s="33">
        <v>71.838888888875729</v>
      </c>
      <c r="E364" s="33">
        <v>767.39444444443131</v>
      </c>
      <c r="F364" s="33">
        <v>8237.7777777761439</v>
      </c>
      <c r="G364" s="33"/>
    </row>
    <row r="365" spans="1:7" x14ac:dyDescent="0.2">
      <c r="A365" s="46">
        <v>55913</v>
      </c>
      <c r="B365" s="21">
        <v>349</v>
      </c>
      <c r="C365" s="33">
        <v>695.55555555555554</v>
      </c>
      <c r="D365" s="33">
        <v>66.245462962949816</v>
      </c>
      <c r="E365" s="33">
        <v>761.80101851850532</v>
      </c>
      <c r="F365" s="33">
        <v>7542.2222222205883</v>
      </c>
      <c r="G365" s="33"/>
    </row>
    <row r="366" spans="1:7" x14ac:dyDescent="0.2">
      <c r="A366" s="46">
        <v>55944</v>
      </c>
      <c r="B366" s="21">
        <v>350</v>
      </c>
      <c r="C366" s="33">
        <v>695.55555555555554</v>
      </c>
      <c r="D366" s="33">
        <v>60.652037037023888</v>
      </c>
      <c r="E366" s="33">
        <v>756.20759259257943</v>
      </c>
      <c r="F366" s="33">
        <v>6846.6666666650326</v>
      </c>
      <c r="G366" s="33"/>
    </row>
    <row r="367" spans="1:7" x14ac:dyDescent="0.2">
      <c r="A367" s="46">
        <v>55972</v>
      </c>
      <c r="B367" s="21">
        <v>351</v>
      </c>
      <c r="C367" s="33">
        <v>695.55555555555554</v>
      </c>
      <c r="D367" s="33">
        <v>55.058611111097967</v>
      </c>
      <c r="E367" s="33">
        <v>750.61416666665355</v>
      </c>
      <c r="F367" s="33">
        <v>6151.111111109477</v>
      </c>
      <c r="G367" s="33"/>
    </row>
    <row r="368" spans="1:7" x14ac:dyDescent="0.2">
      <c r="A368" s="46">
        <v>56003</v>
      </c>
      <c r="B368" s="21">
        <v>352</v>
      </c>
      <c r="C368" s="33">
        <v>695.55555555555554</v>
      </c>
      <c r="D368" s="33">
        <v>49.465185185172039</v>
      </c>
      <c r="E368" s="33">
        <v>745.02074074072755</v>
      </c>
      <c r="F368" s="33">
        <v>5455.5555555539213</v>
      </c>
      <c r="G368" s="33"/>
    </row>
    <row r="369" spans="1:7" x14ac:dyDescent="0.2">
      <c r="A369" s="46">
        <v>56033</v>
      </c>
      <c r="B369" s="21">
        <v>353</v>
      </c>
      <c r="C369" s="33">
        <v>695.55555555555554</v>
      </c>
      <c r="D369" s="33">
        <v>43.871759259246112</v>
      </c>
      <c r="E369" s="33">
        <v>739.42731481480166</v>
      </c>
      <c r="F369" s="33">
        <v>4759.9999999983656</v>
      </c>
      <c r="G369" s="33"/>
    </row>
    <row r="370" spans="1:7" x14ac:dyDescent="0.2">
      <c r="A370" s="46">
        <v>56064</v>
      </c>
      <c r="B370" s="21">
        <v>354</v>
      </c>
      <c r="C370" s="33">
        <v>695.55555555555554</v>
      </c>
      <c r="D370" s="33">
        <v>38.278333333320184</v>
      </c>
      <c r="E370" s="33">
        <v>733.83388888887578</v>
      </c>
      <c r="F370" s="33">
        <v>4064.44444444281</v>
      </c>
      <c r="G370" s="33"/>
    </row>
    <row r="371" spans="1:7" x14ac:dyDescent="0.2">
      <c r="A371" s="46">
        <v>56094</v>
      </c>
      <c r="B371" s="21">
        <v>355</v>
      </c>
      <c r="C371" s="33">
        <v>695.55555555555554</v>
      </c>
      <c r="D371" s="33">
        <v>32.684907407394263</v>
      </c>
      <c r="E371" s="33">
        <v>728.24046296294978</v>
      </c>
      <c r="F371" s="33">
        <v>3368.8888888872543</v>
      </c>
      <c r="G371" s="33"/>
    </row>
    <row r="372" spans="1:7" x14ac:dyDescent="0.2">
      <c r="A372" s="46">
        <v>56125</v>
      </c>
      <c r="B372" s="21">
        <v>356</v>
      </c>
      <c r="C372" s="33">
        <v>695.55555555555554</v>
      </c>
      <c r="D372" s="33">
        <v>27.091481481468335</v>
      </c>
      <c r="E372" s="33">
        <v>722.64703703702389</v>
      </c>
      <c r="F372" s="33">
        <v>2673.3333333316987</v>
      </c>
      <c r="G372" s="33"/>
    </row>
    <row r="373" spans="1:7" x14ac:dyDescent="0.2">
      <c r="A373" s="46">
        <v>56156</v>
      </c>
      <c r="B373" s="21">
        <v>357</v>
      </c>
      <c r="C373" s="33">
        <v>695.55555555555554</v>
      </c>
      <c r="D373" s="33">
        <v>21.498055555542408</v>
      </c>
      <c r="E373" s="33">
        <v>717.05361111109801</v>
      </c>
      <c r="F373" s="33">
        <v>1977.777777776143</v>
      </c>
      <c r="G373" s="33"/>
    </row>
    <row r="374" spans="1:7" x14ac:dyDescent="0.2">
      <c r="A374" s="46">
        <v>56186</v>
      </c>
      <c r="B374" s="21">
        <v>358</v>
      </c>
      <c r="C374" s="33">
        <v>695.55555555555554</v>
      </c>
      <c r="D374" s="33">
        <v>15.904629629616482</v>
      </c>
      <c r="E374" s="33">
        <v>711.46018518517201</v>
      </c>
      <c r="F374" s="33">
        <v>1282.2222222205874</v>
      </c>
      <c r="G374" s="33"/>
    </row>
    <row r="375" spans="1:7" x14ac:dyDescent="0.2">
      <c r="A375" s="46">
        <v>56217</v>
      </c>
      <c r="B375" s="21">
        <v>359</v>
      </c>
      <c r="C375" s="33">
        <v>695.55555555555554</v>
      </c>
      <c r="D375" s="33">
        <v>10.311203703690555</v>
      </c>
      <c r="E375" s="33">
        <v>705.86675925924612</v>
      </c>
      <c r="F375" s="33">
        <v>586.66666666503181</v>
      </c>
      <c r="G375" s="33"/>
    </row>
    <row r="376" spans="1:7" ht="11.25" customHeight="1" x14ac:dyDescent="0.2">
      <c r="A376" s="46">
        <v>56247</v>
      </c>
      <c r="B376" s="21">
        <v>360</v>
      </c>
      <c r="C376" s="33">
        <v>695.55555555555554</v>
      </c>
      <c r="D376" s="33">
        <v>4.7177777777646304</v>
      </c>
      <c r="E376" s="33">
        <v>700.27333333332012</v>
      </c>
      <c r="F376" s="33">
        <v>0</v>
      </c>
      <c r="G376" s="33"/>
    </row>
    <row r="377" spans="1:7" x14ac:dyDescent="0.2">
      <c r="A377" s="46"/>
      <c r="C377" s="33"/>
      <c r="D377" s="33"/>
      <c r="E377" s="33"/>
      <c r="F377" s="33"/>
      <c r="G377" s="33"/>
    </row>
    <row r="378" spans="1:7" ht="11.25" customHeight="1" x14ac:dyDescent="0.2">
      <c r="A378" s="46"/>
      <c r="C378" s="33"/>
      <c r="D378" s="33"/>
      <c r="E378" s="33"/>
      <c r="F378" s="33"/>
      <c r="G378" s="33"/>
    </row>
    <row r="379" spans="1:7" x14ac:dyDescent="0.2">
      <c r="A379" s="22"/>
    </row>
    <row r="380" spans="1:7" x14ac:dyDescent="0.2">
      <c r="A380" s="22"/>
    </row>
    <row r="381" spans="1:7" x14ac:dyDescent="0.2">
      <c r="A381" s="22"/>
    </row>
    <row r="382" spans="1:7" x14ac:dyDescent="0.2">
      <c r="A382" s="22"/>
    </row>
    <row r="383" spans="1:7" x14ac:dyDescent="0.2">
      <c r="A383" s="22"/>
    </row>
    <row r="384" spans="1:7" x14ac:dyDescent="0.2">
      <c r="A384" s="22"/>
    </row>
    <row r="385" spans="1:1" x14ac:dyDescent="0.2">
      <c r="A385" s="22"/>
    </row>
    <row r="386" spans="1:1" x14ac:dyDescent="0.2">
      <c r="A386" s="22"/>
    </row>
    <row r="387" spans="1:1" x14ac:dyDescent="0.2">
      <c r="A387" s="22"/>
    </row>
    <row r="388" spans="1:1" x14ac:dyDescent="0.2">
      <c r="A388" s="22"/>
    </row>
    <row r="389" spans="1:1" x14ac:dyDescent="0.2">
      <c r="A389" s="22"/>
    </row>
    <row r="390" spans="1:1" x14ac:dyDescent="0.2">
      <c r="A390" s="22"/>
    </row>
    <row r="391" spans="1:1" x14ac:dyDescent="0.2">
      <c r="A391" s="22"/>
    </row>
    <row r="392" spans="1:1" x14ac:dyDescent="0.2">
      <c r="A392" s="22"/>
    </row>
    <row r="393" spans="1:1" x14ac:dyDescent="0.2">
      <c r="A393" s="22"/>
    </row>
    <row r="394" spans="1:1" x14ac:dyDescent="0.2">
      <c r="A394" s="22"/>
    </row>
    <row r="395" spans="1:1" x14ac:dyDescent="0.2">
      <c r="A395" s="22"/>
    </row>
    <row r="396" spans="1:1" x14ac:dyDescent="0.2">
      <c r="A396" s="22"/>
    </row>
    <row r="397" spans="1:1" x14ac:dyDescent="0.2">
      <c r="A397" s="22"/>
    </row>
    <row r="398" spans="1:1" x14ac:dyDescent="0.2">
      <c r="A398" s="22"/>
    </row>
    <row r="399" spans="1:1" x14ac:dyDescent="0.2">
      <c r="A399" s="22"/>
    </row>
    <row r="400" spans="1:1" x14ac:dyDescent="0.2">
      <c r="A400" s="22"/>
    </row>
    <row r="401" spans="1:1" x14ac:dyDescent="0.2">
      <c r="A401" s="22"/>
    </row>
    <row r="402" spans="1:1" x14ac:dyDescent="0.2">
      <c r="A402" s="22"/>
    </row>
    <row r="403" spans="1:1" x14ac:dyDescent="0.2">
      <c r="A403" s="22"/>
    </row>
    <row r="404" spans="1:1" x14ac:dyDescent="0.2">
      <c r="A404" s="22"/>
    </row>
    <row r="405" spans="1:1" x14ac:dyDescent="0.2">
      <c r="A405" s="22"/>
    </row>
    <row r="406" spans="1:1" x14ac:dyDescent="0.2">
      <c r="A406" s="22"/>
    </row>
    <row r="407" spans="1:1" x14ac:dyDescent="0.2">
      <c r="A407" s="22"/>
    </row>
    <row r="408" spans="1:1" x14ac:dyDescent="0.2">
      <c r="A408" s="22"/>
    </row>
    <row r="409" spans="1:1" x14ac:dyDescent="0.2">
      <c r="A409" s="22"/>
    </row>
    <row r="410" spans="1:1" x14ac:dyDescent="0.2">
      <c r="A410" s="22"/>
    </row>
    <row r="411" spans="1:1" x14ac:dyDescent="0.2">
      <c r="A411" s="22"/>
    </row>
    <row r="412" spans="1:1" x14ac:dyDescent="0.2">
      <c r="A412" s="22"/>
    </row>
    <row r="413" spans="1:1" x14ac:dyDescent="0.2">
      <c r="A413" s="22"/>
    </row>
    <row r="414" spans="1:1" x14ac:dyDescent="0.2">
      <c r="A414" s="22"/>
    </row>
    <row r="415" spans="1:1" x14ac:dyDescent="0.2">
      <c r="A415" s="22"/>
    </row>
    <row r="416" spans="1:1" x14ac:dyDescent="0.2">
      <c r="A416" s="22"/>
    </row>
    <row r="417" spans="1:1" x14ac:dyDescent="0.2">
      <c r="A417" s="22"/>
    </row>
    <row r="418" spans="1:1" x14ac:dyDescent="0.2">
      <c r="A418" s="22"/>
    </row>
    <row r="419" spans="1:1" x14ac:dyDescent="0.2">
      <c r="A419" s="22"/>
    </row>
    <row r="420" spans="1:1" x14ac:dyDescent="0.2">
      <c r="A420" s="22"/>
    </row>
    <row r="421" spans="1:1" x14ac:dyDescent="0.2">
      <c r="A421" s="22"/>
    </row>
    <row r="422" spans="1:1" x14ac:dyDescent="0.2">
      <c r="A422" s="22"/>
    </row>
    <row r="423" spans="1:1" x14ac:dyDescent="0.2">
      <c r="A423" s="22"/>
    </row>
    <row r="424" spans="1:1" x14ac:dyDescent="0.2">
      <c r="A424" s="22"/>
    </row>
  </sheetData>
  <dataConsolidate/>
  <mergeCells count="5">
    <mergeCell ref="A14:G14"/>
    <mergeCell ref="A1:C1"/>
    <mergeCell ref="E1:G1"/>
    <mergeCell ref="B10:C10"/>
    <mergeCell ref="B13:C13"/>
  </mergeCells>
  <pageMargins left="0.70866141732283472" right="0.70866141732283472" top="0.98425196850393704" bottom="0.74803149606299213" header="0.31496062992125984" footer="0.31496062992125984"/>
  <pageSetup paperSize="9" orientation="portrait" r:id="rId1"/>
  <headerFooter>
    <oddHeader>&amp;C&amp;"-,Bold"Simulare credit ipotecar</oddHeader>
    <oddFooter>&amp;C&amp;8&amp;P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Simulare_Buton" altText="">
                <anchor moveWithCells="1" sizeWithCells="1">
                  <from>
                    <xdr:col>5</xdr:col>
                    <xdr:colOff>466725</xdr:colOff>
                    <xdr:row>13</xdr:row>
                    <xdr:rowOff>19050</xdr:rowOff>
                  </from>
                  <to>
                    <xdr:col>6</xdr:col>
                    <xdr:colOff>828675</xdr:colOff>
                    <xdr:row>13</xdr:row>
                    <xdr:rowOff>390525</xdr:rowOff>
                  </to>
                </anchor>
              </controlPr>
            </control>
          </mc:Choice>
        </mc:AlternateContent>
        <mc:AlternateContent xmlns:mc="http://schemas.openxmlformats.org/markup-compatibility/2006">
          <mc:Choice Requires="x14">
            <control shapeId="2058" r:id="rId5" name="Button 10">
              <controlPr defaultSize="0" print="0" autoFill="0" autoPict="0" macro="[0]!salveazaPDF_Buton" altText="">
                <anchor moveWithCells="1" sizeWithCells="1">
                  <from>
                    <xdr:col>5</xdr:col>
                    <xdr:colOff>466725</xdr:colOff>
                    <xdr:row>13</xdr:row>
                    <xdr:rowOff>495300</xdr:rowOff>
                  </from>
                  <to>
                    <xdr:col>7</xdr:col>
                    <xdr:colOff>0</xdr:colOff>
                    <xdr:row>13</xdr:row>
                    <xdr:rowOff>866775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info!$B$2:$B$3</xm:f>
          </x14:formula1>
          <xm:sqref>B10:C10</xm:sqref>
        </x14:dataValidation>
        <x14:dataValidation type="list" allowBlank="1" showInputMessage="1" showErrorMessage="1">
          <x14:formula1>
            <xm:f>info!$C$2:$C$3</xm:f>
          </x14:formula1>
          <xm:sqref>B7:B9</xm:sqref>
        </x14:dataValidation>
        <x14:dataValidation type="list" allowBlank="1" showInputMessage="1" showErrorMessage="1">
          <x14:formula1>
            <xm:f>info!$A$2:$A$31</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
  <sheetViews>
    <sheetView zoomScale="205" zoomScaleNormal="205" workbookViewId="0">
      <selection activeCell="B6" sqref="B6"/>
    </sheetView>
  </sheetViews>
  <sheetFormatPr defaultRowHeight="15" x14ac:dyDescent="0.25"/>
  <cols>
    <col min="1" max="1" width="3.140625" style="1" bestFit="1" customWidth="1"/>
    <col min="2" max="2" width="40.140625" bestFit="1" customWidth="1"/>
    <col min="3" max="3" width="37.140625" customWidth="1"/>
  </cols>
  <sheetData>
    <row r="1" spans="1:3" x14ac:dyDescent="0.25">
      <c r="A1" s="3" t="s">
        <v>12</v>
      </c>
      <c r="B1" s="3" t="s">
        <v>13</v>
      </c>
      <c r="C1" s="3" t="s">
        <v>14</v>
      </c>
    </row>
    <row r="2" spans="1:3" ht="45" x14ac:dyDescent="0.25">
      <c r="A2" s="52">
        <v>1</v>
      </c>
      <c r="B2" s="48" t="s">
        <v>43</v>
      </c>
      <c r="C2" s="49" t="s">
        <v>44</v>
      </c>
    </row>
    <row r="3" spans="1:3" ht="21.75" customHeight="1" x14ac:dyDescent="0.25">
      <c r="A3" s="52">
        <v>2</v>
      </c>
      <c r="B3" s="48" t="s">
        <v>40</v>
      </c>
      <c r="C3" s="48" t="s">
        <v>41</v>
      </c>
    </row>
    <row r="4" spans="1:3" ht="24.75" customHeight="1" x14ac:dyDescent="0.25">
      <c r="A4" s="52">
        <v>3</v>
      </c>
      <c r="B4" s="48" t="s">
        <v>42</v>
      </c>
      <c r="C4" s="48" t="s">
        <v>15</v>
      </c>
    </row>
    <row r="5" spans="1:3" ht="65.25" customHeight="1" x14ac:dyDescent="0.25">
      <c r="A5" s="52">
        <v>4</v>
      </c>
      <c r="B5" s="50" t="s">
        <v>16</v>
      </c>
      <c r="C5" s="51" t="s">
        <v>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
  <sheetViews>
    <sheetView workbookViewId="0">
      <selection activeCell="D3" sqref="D3"/>
    </sheetView>
  </sheetViews>
  <sheetFormatPr defaultRowHeight="15" x14ac:dyDescent="0.25"/>
  <cols>
    <col min="1" max="1" width="13.5703125" style="30" bestFit="1" customWidth="1"/>
    <col min="2" max="2" width="19" bestFit="1" customWidth="1"/>
  </cols>
  <sheetData>
    <row r="1" spans="1:3" x14ac:dyDescent="0.25">
      <c r="A1" s="3" t="s">
        <v>37</v>
      </c>
      <c r="B1" s="31" t="s">
        <v>36</v>
      </c>
      <c r="C1" s="31" t="s">
        <v>35</v>
      </c>
    </row>
    <row r="2" spans="1:3" x14ac:dyDescent="0.25">
      <c r="A2" s="32">
        <v>1</v>
      </c>
      <c r="B2" s="2" t="s">
        <v>22</v>
      </c>
      <c r="C2" s="2" t="s">
        <v>28</v>
      </c>
    </row>
    <row r="3" spans="1:3" x14ac:dyDescent="0.25">
      <c r="A3" s="32">
        <v>2</v>
      </c>
      <c r="B3" s="2" t="s">
        <v>23</v>
      </c>
      <c r="C3" s="2" t="s">
        <v>29</v>
      </c>
    </row>
    <row r="4" spans="1:3" x14ac:dyDescent="0.25">
      <c r="A4" s="32">
        <v>3</v>
      </c>
      <c r="B4" s="1"/>
    </row>
    <row r="5" spans="1:3" x14ac:dyDescent="0.25">
      <c r="A5" s="32">
        <v>4</v>
      </c>
    </row>
    <row r="6" spans="1:3" x14ac:dyDescent="0.25">
      <c r="A6" s="32">
        <v>5</v>
      </c>
    </row>
    <row r="7" spans="1:3" x14ac:dyDescent="0.25">
      <c r="A7" s="32">
        <v>6</v>
      </c>
    </row>
    <row r="8" spans="1:3" x14ac:dyDescent="0.25">
      <c r="A8" s="32">
        <v>7</v>
      </c>
      <c r="B8" s="1"/>
    </row>
    <row r="9" spans="1:3" x14ac:dyDescent="0.25">
      <c r="A9" s="32">
        <v>8</v>
      </c>
      <c r="B9" s="1"/>
    </row>
    <row r="10" spans="1:3" x14ac:dyDescent="0.25">
      <c r="A10" s="32">
        <v>9</v>
      </c>
      <c r="B10" s="1"/>
    </row>
    <row r="11" spans="1:3" x14ac:dyDescent="0.25">
      <c r="A11" s="32">
        <v>10</v>
      </c>
      <c r="B11" s="1"/>
    </row>
    <row r="12" spans="1:3" x14ac:dyDescent="0.25">
      <c r="A12" s="32">
        <v>11</v>
      </c>
      <c r="B12" s="1"/>
    </row>
    <row r="13" spans="1:3" x14ac:dyDescent="0.25">
      <c r="A13" s="32">
        <v>12</v>
      </c>
      <c r="B13" s="1"/>
    </row>
    <row r="14" spans="1:3" x14ac:dyDescent="0.25">
      <c r="A14" s="32">
        <v>13</v>
      </c>
      <c r="B14" s="1"/>
    </row>
    <row r="15" spans="1:3" x14ac:dyDescent="0.25">
      <c r="A15" s="32">
        <v>14</v>
      </c>
      <c r="B15" s="1"/>
    </row>
    <row r="16" spans="1:3" x14ac:dyDescent="0.25">
      <c r="A16" s="32">
        <v>15</v>
      </c>
      <c r="B16" s="1"/>
    </row>
    <row r="17" spans="1:2" x14ac:dyDescent="0.25">
      <c r="A17" s="32">
        <v>16</v>
      </c>
      <c r="B17" s="1"/>
    </row>
    <row r="18" spans="1:2" x14ac:dyDescent="0.25">
      <c r="A18" s="32">
        <v>17</v>
      </c>
      <c r="B18" s="1"/>
    </row>
    <row r="19" spans="1:2" x14ac:dyDescent="0.25">
      <c r="A19" s="32">
        <v>18</v>
      </c>
      <c r="B19" s="1"/>
    </row>
    <row r="20" spans="1:2" x14ac:dyDescent="0.25">
      <c r="A20" s="32">
        <v>19</v>
      </c>
      <c r="B20" s="1"/>
    </row>
    <row r="21" spans="1:2" x14ac:dyDescent="0.25">
      <c r="A21" s="32">
        <v>20</v>
      </c>
      <c r="B21" s="1"/>
    </row>
    <row r="22" spans="1:2" x14ac:dyDescent="0.25">
      <c r="A22" s="32">
        <v>21</v>
      </c>
      <c r="B22" s="1"/>
    </row>
    <row r="23" spans="1:2" x14ac:dyDescent="0.25">
      <c r="A23" s="32">
        <v>22</v>
      </c>
      <c r="B23" s="1"/>
    </row>
    <row r="24" spans="1:2" x14ac:dyDescent="0.25">
      <c r="A24" s="32">
        <v>23</v>
      </c>
      <c r="B24" s="1"/>
    </row>
    <row r="25" spans="1:2" x14ac:dyDescent="0.25">
      <c r="A25" s="32">
        <v>24</v>
      </c>
      <c r="B25" s="1"/>
    </row>
    <row r="26" spans="1:2" x14ac:dyDescent="0.25">
      <c r="A26" s="32">
        <v>25</v>
      </c>
      <c r="B26" s="1"/>
    </row>
    <row r="27" spans="1:2" x14ac:dyDescent="0.25">
      <c r="A27" s="32">
        <v>26</v>
      </c>
      <c r="B27" s="1"/>
    </row>
    <row r="28" spans="1:2" x14ac:dyDescent="0.25">
      <c r="A28" s="32">
        <v>27</v>
      </c>
      <c r="B28" s="1"/>
    </row>
    <row r="29" spans="1:2" x14ac:dyDescent="0.25">
      <c r="A29" s="32">
        <v>28</v>
      </c>
      <c r="B29" s="1"/>
    </row>
    <row r="30" spans="1:2" x14ac:dyDescent="0.25">
      <c r="A30" s="32">
        <v>29</v>
      </c>
      <c r="B30" s="1"/>
    </row>
    <row r="31" spans="1:2" x14ac:dyDescent="0.25">
      <c r="A31" s="32">
        <v>30</v>
      </c>
      <c r="B31" s="1"/>
    </row>
    <row r="32" spans="1:2" x14ac:dyDescent="0.25">
      <c r="B32"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simulare</vt:lpstr>
      <vt:lpstr>documente</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Cornel Cristea</dc:creator>
  <cp:lastModifiedBy>Cornel Cristea</cp:lastModifiedBy>
  <cp:lastPrinted>2023-11-26T15:54:55Z</cp:lastPrinted>
  <dcterms:created xsi:type="dcterms:W3CDTF">2023-11-18T02:35:48Z</dcterms:created>
  <dcterms:modified xsi:type="dcterms:W3CDTF">2023-11-29T11:19:53Z</dcterms:modified>
</cp:coreProperties>
</file>